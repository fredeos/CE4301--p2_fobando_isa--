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B:\workbench\repos\CE4301--p2_fobando_isa--\res\"/>
    </mc:Choice>
  </mc:AlternateContent>
  <xr:revisionPtr revIDLastSave="0" documentId="13_ncr:1_{8C1EA4B0-8B45-4DF2-8ABC-1A9186D0BECE}" xr6:coauthVersionLast="47" xr6:coauthVersionMax="47" xr10:uidLastSave="{00000000-0000-0000-0000-000000000000}"/>
  <bookViews>
    <workbookView xWindow="-108" yWindow="-108" windowWidth="23256" windowHeight="12456" activeTab="1" xr2:uid="{EC7525CD-E51C-4E61-B306-9CBCE090E85A}"/>
  </bookViews>
  <sheets>
    <sheet name="Encode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43" i="2" l="1"/>
  <c r="AJ43" i="2"/>
  <c r="AK43" i="2"/>
  <c r="AL43" i="2"/>
  <c r="AI44" i="2"/>
  <c r="AJ44" i="2"/>
  <c r="AK44" i="2"/>
  <c r="AL44" i="2"/>
  <c r="AI45" i="2"/>
  <c r="AJ45" i="2"/>
  <c r="AK45" i="2"/>
  <c r="AL45" i="2"/>
  <c r="AI46" i="2"/>
  <c r="AJ46" i="2"/>
  <c r="AK46" i="2"/>
  <c r="AL46" i="2"/>
  <c r="AM46" i="2"/>
  <c r="AI47" i="2"/>
  <c r="AM47" i="2" s="1"/>
  <c r="AJ47" i="2"/>
  <c r="AK47" i="2"/>
  <c r="AL47" i="2"/>
  <c r="AI48" i="2"/>
  <c r="AJ48" i="2"/>
  <c r="AK48" i="2"/>
  <c r="AM48" i="2" s="1"/>
  <c r="AL48" i="2"/>
  <c r="AI49" i="2"/>
  <c r="AM49" i="2" s="1"/>
  <c r="AJ49" i="2"/>
  <c r="AK49" i="2"/>
  <c r="AL49" i="2"/>
  <c r="AI27" i="2"/>
  <c r="AM27" i="2" s="1"/>
  <c r="AJ27" i="2"/>
  <c r="AK27" i="2"/>
  <c r="AL27" i="2"/>
  <c r="AI28" i="2"/>
  <c r="AJ28" i="2"/>
  <c r="AK28" i="2"/>
  <c r="AL28" i="2"/>
  <c r="AI29" i="2"/>
  <c r="AJ29" i="2"/>
  <c r="AK29" i="2"/>
  <c r="AL29" i="2"/>
  <c r="AI30" i="2"/>
  <c r="AJ30" i="2"/>
  <c r="AK30" i="2"/>
  <c r="AL30" i="2"/>
  <c r="AI31" i="2"/>
  <c r="AJ31" i="2"/>
  <c r="AK31" i="2"/>
  <c r="AL31" i="2"/>
  <c r="AI32" i="2"/>
  <c r="AJ32" i="2"/>
  <c r="AK32" i="2"/>
  <c r="AL32" i="2"/>
  <c r="AI33" i="2"/>
  <c r="AJ33" i="2"/>
  <c r="AK33" i="2"/>
  <c r="AL33" i="2"/>
  <c r="AI34" i="2"/>
  <c r="AJ34" i="2"/>
  <c r="AK34" i="2"/>
  <c r="AL34" i="2"/>
  <c r="AI35" i="2"/>
  <c r="AJ35" i="2"/>
  <c r="AK35" i="2"/>
  <c r="AL35" i="2"/>
  <c r="AI36" i="2"/>
  <c r="AJ36" i="2"/>
  <c r="AK36" i="2"/>
  <c r="AL36" i="2"/>
  <c r="AI37" i="2"/>
  <c r="AJ37" i="2"/>
  <c r="AK37" i="2"/>
  <c r="AL37" i="2"/>
  <c r="AM37" i="2"/>
  <c r="AI38" i="2"/>
  <c r="AJ38" i="2"/>
  <c r="AK38" i="2"/>
  <c r="AL38" i="2"/>
  <c r="AI39" i="2"/>
  <c r="AJ39" i="2"/>
  <c r="AK39" i="2"/>
  <c r="AL39" i="2"/>
  <c r="AI40" i="2"/>
  <c r="AJ40" i="2"/>
  <c r="AK40" i="2"/>
  <c r="AL40" i="2"/>
  <c r="AI41" i="2"/>
  <c r="AJ41" i="2"/>
  <c r="AK41" i="2"/>
  <c r="AL41" i="2"/>
  <c r="AI42" i="2"/>
  <c r="AJ42" i="2"/>
  <c r="AK42" i="2"/>
  <c r="AL42" i="2"/>
  <c r="AI25" i="2"/>
  <c r="AJ25" i="2"/>
  <c r="AK25" i="2"/>
  <c r="AL25" i="2"/>
  <c r="AI26" i="2"/>
  <c r="AJ26" i="2"/>
  <c r="AK26" i="2"/>
  <c r="AL26" i="2"/>
  <c r="AI19" i="2"/>
  <c r="AM19" i="2" s="1"/>
  <c r="AJ19" i="2"/>
  <c r="AK19" i="2"/>
  <c r="AL19" i="2"/>
  <c r="AI20" i="2"/>
  <c r="AJ20" i="2"/>
  <c r="AK20" i="2"/>
  <c r="AL20" i="2"/>
  <c r="AI21" i="2"/>
  <c r="AJ21" i="2"/>
  <c r="AK21" i="2"/>
  <c r="AL21" i="2"/>
  <c r="AI22" i="2"/>
  <c r="AJ22" i="2"/>
  <c r="AK22" i="2"/>
  <c r="AL22" i="2"/>
  <c r="AI23" i="2"/>
  <c r="AJ23" i="2"/>
  <c r="AK23" i="2"/>
  <c r="AL23" i="2"/>
  <c r="AI24" i="2"/>
  <c r="AJ24" i="2"/>
  <c r="AK24" i="2"/>
  <c r="AL24" i="2"/>
  <c r="AI9" i="2"/>
  <c r="AJ9" i="2"/>
  <c r="AK9" i="2"/>
  <c r="AL9" i="2"/>
  <c r="AI10" i="2"/>
  <c r="AJ10" i="2"/>
  <c r="AK10" i="2"/>
  <c r="AL10" i="2"/>
  <c r="AI11" i="2"/>
  <c r="AJ11" i="2"/>
  <c r="AK11" i="2"/>
  <c r="AL11" i="2"/>
  <c r="AI12" i="2"/>
  <c r="AJ12" i="2"/>
  <c r="AK12" i="2"/>
  <c r="AL12" i="2"/>
  <c r="AI13" i="2"/>
  <c r="AJ13" i="2"/>
  <c r="AK13" i="2"/>
  <c r="AL13" i="2"/>
  <c r="AI14" i="2"/>
  <c r="AJ14" i="2"/>
  <c r="AK14" i="2"/>
  <c r="AL14" i="2"/>
  <c r="AI15" i="2"/>
  <c r="AJ15" i="2"/>
  <c r="AK15" i="2"/>
  <c r="AL15" i="2"/>
  <c r="AI16" i="2"/>
  <c r="AJ16" i="2"/>
  <c r="AK16" i="2"/>
  <c r="AL16" i="2"/>
  <c r="AI17" i="2"/>
  <c r="AJ17" i="2"/>
  <c r="AK17" i="2"/>
  <c r="AL17" i="2"/>
  <c r="AI18" i="2"/>
  <c r="AJ18" i="2"/>
  <c r="AK18" i="2"/>
  <c r="AL18" i="2"/>
  <c r="AI6" i="2"/>
  <c r="AL6" i="2"/>
  <c r="AL7" i="2"/>
  <c r="AL8" i="2"/>
  <c r="AK6" i="2"/>
  <c r="AK7" i="2"/>
  <c r="AK8" i="2"/>
  <c r="AJ6" i="2"/>
  <c r="AJ7" i="2"/>
  <c r="AJ8" i="2"/>
  <c r="AI7" i="2"/>
  <c r="AI8" i="2"/>
  <c r="AI4" i="2"/>
  <c r="AJ4" i="2"/>
  <c r="AK4" i="2"/>
  <c r="AL4" i="2"/>
  <c r="AI5" i="2"/>
  <c r="AJ5" i="2"/>
  <c r="AK5" i="2"/>
  <c r="AL5" i="2"/>
  <c r="AL3" i="2"/>
  <c r="AK3" i="2"/>
  <c r="AJ3" i="2"/>
  <c r="AI3" i="2"/>
  <c r="AM45" i="2" l="1"/>
  <c r="AM43" i="2"/>
  <c r="AM42" i="2"/>
  <c r="AM44" i="2"/>
  <c r="AM40" i="2"/>
  <c r="AM38" i="2"/>
  <c r="AM41" i="2"/>
  <c r="AM39" i="2"/>
  <c r="AM36" i="2"/>
  <c r="AM33" i="2"/>
  <c r="AM32" i="2"/>
  <c r="AM31" i="2"/>
  <c r="AM29" i="2"/>
  <c r="AM35" i="2"/>
  <c r="AM34" i="2"/>
  <c r="AM30" i="2"/>
  <c r="AM28" i="2"/>
  <c r="AM26" i="2"/>
  <c r="AM24" i="2"/>
  <c r="AM25" i="2"/>
  <c r="AM23" i="2"/>
  <c r="AM22" i="2"/>
  <c r="AM21" i="2"/>
  <c r="AM20" i="2"/>
  <c r="AM17" i="2"/>
  <c r="AM18" i="2"/>
  <c r="AM15" i="2"/>
  <c r="AM16" i="2"/>
  <c r="AM13" i="2"/>
  <c r="AM12" i="2"/>
  <c r="AM14" i="2"/>
  <c r="AM11" i="2"/>
  <c r="AM10" i="2"/>
  <c r="AM9" i="2"/>
  <c r="AM7" i="2"/>
  <c r="AM6" i="2"/>
  <c r="AM4" i="2"/>
  <c r="AM5" i="2"/>
  <c r="AM8" i="2"/>
  <c r="AM3" i="2"/>
</calcChain>
</file>

<file path=xl/sharedStrings.xml><?xml version="1.0" encoding="utf-8"?>
<sst xmlns="http://schemas.openxmlformats.org/spreadsheetml/2006/main" count="122" uniqueCount="74">
  <si>
    <t>R</t>
  </si>
  <si>
    <t>I</t>
  </si>
  <si>
    <t>M</t>
  </si>
  <si>
    <t>B</t>
  </si>
  <si>
    <t>J/F</t>
  </si>
  <si>
    <t>S</t>
  </si>
  <si>
    <t>PR</t>
  </si>
  <si>
    <t>V</t>
  </si>
  <si>
    <t>PI</t>
  </si>
  <si>
    <t>T</t>
  </si>
  <si>
    <t>func7</t>
  </si>
  <si>
    <t>rm</t>
  </si>
  <si>
    <t>rn</t>
  </si>
  <si>
    <t>rd</t>
  </si>
  <si>
    <t>func4</t>
  </si>
  <si>
    <t>opcode</t>
  </si>
  <si>
    <t>P</t>
  </si>
  <si>
    <t>imm12</t>
  </si>
  <si>
    <t>H</t>
  </si>
  <si>
    <t>W</t>
  </si>
  <si>
    <t>cond</t>
  </si>
  <si>
    <t>imm12[4:0]</t>
  </si>
  <si>
    <t>imm12[11:5]</t>
  </si>
  <si>
    <t>imm21[3:0]</t>
  </si>
  <si>
    <t>imm21[20:4]</t>
  </si>
  <si>
    <t>imm20</t>
  </si>
  <si>
    <t>sd</t>
  </si>
  <si>
    <t>sn</t>
  </si>
  <si>
    <t>imm16</t>
  </si>
  <si>
    <t>sm</t>
  </si>
  <si>
    <t>func3</t>
  </si>
  <si>
    <t>sf</t>
  </si>
  <si>
    <t>HEX</t>
  </si>
  <si>
    <t>INSTR</t>
  </si>
  <si>
    <t>nop</t>
  </si>
  <si>
    <t>ej.</t>
  </si>
  <si>
    <t>add p0, r2, r3</t>
  </si>
  <si>
    <t>muli pc, ra, 7</t>
  </si>
  <si>
    <t>jal ra, 4</t>
  </si>
  <si>
    <t>login 0xBEEF0</t>
  </si>
  <si>
    <t>quit</t>
  </si>
  <si>
    <t>pdiv ax, bx, cx</t>
  </si>
  <si>
    <t>pslli fx, ax, 6</t>
  </si>
  <si>
    <t>paddxor ax, fx, bx, cx</t>
  </si>
  <si>
    <t>ldb r0,- 3(sp)</t>
  </si>
  <si>
    <t>stw r5,+ 4(sp)</t>
  </si>
  <si>
    <t>ldvh bx,+ -2(dx)</t>
  </si>
  <si>
    <t>stvb cx,- -5(dx)</t>
  </si>
  <si>
    <t>send cx, r3</t>
  </si>
  <si>
    <t>recv r0, fx</t>
  </si>
  <si>
    <t>movi r0, 15</t>
  </si>
  <si>
    <t>movi r2, -9</t>
  </si>
  <si>
    <t>sub r1, r0, r2</t>
  </si>
  <si>
    <t>mov p0, r1</t>
  </si>
  <si>
    <t>ldw p1,+ 0(zero)</t>
  </si>
  <si>
    <t>muli p2, p1, -1</t>
  </si>
  <si>
    <t>sth p2,+ 3(zero)</t>
  </si>
  <si>
    <t>movi r0, 5</t>
  </si>
  <si>
    <t>movi r2, 2</t>
  </si>
  <si>
    <t>addi r1, r1, 1</t>
  </si>
  <si>
    <t>bne r1, r0, -3</t>
  </si>
  <si>
    <t>stb r1,- -2(zero)</t>
  </si>
  <si>
    <t>mov r1, zero</t>
  </si>
  <si>
    <t>blt r5, r7, -4</t>
  </si>
  <si>
    <t>addi r3, r1, 1</t>
  </si>
  <si>
    <t>mul r3, r3, r2</t>
  </si>
  <si>
    <t>stw r3,+ 4(zero)</t>
  </si>
  <si>
    <t>ldb r0,+ 12(zero)</t>
  </si>
  <si>
    <t>movi r1, 5</t>
  </si>
  <si>
    <t>movi r2, -2</t>
  </si>
  <si>
    <t>login 0x00001</t>
  </si>
  <si>
    <t>mov r3, lr</t>
  </si>
  <si>
    <t>"@"add r2, r0, r1</t>
  </si>
  <si>
    <t>stw r2,+ 4(zero)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</si>
</sst>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5757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757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C0BC-28E0-4D62-8DDD-273D10319523}">
  <dimension ref="A2:AG13"/>
  <sheetViews>
    <sheetView showGridLines="0" workbookViewId="0">
      <selection activeCell="AB2" sqref="AB2:AF2"/>
    </sheetView>
  </sheetViews>
  <sheetFormatPr defaultRowHeight="14.4" x14ac:dyDescent="0.3"/>
  <cols>
    <col min="2" max="33" width="3.109375" customWidth="1"/>
  </cols>
  <sheetData>
    <row r="2" spans="1:33" x14ac:dyDescent="0.3">
      <c r="B2" s="1">
        <v>31</v>
      </c>
      <c r="C2" s="1">
        <v>30</v>
      </c>
      <c r="D2" s="1">
        <v>29</v>
      </c>
      <c r="E2" s="1">
        <v>28</v>
      </c>
      <c r="F2" s="1">
        <v>27</v>
      </c>
      <c r="G2" s="1">
        <v>26</v>
      </c>
      <c r="H2" s="1">
        <v>25</v>
      </c>
      <c r="I2" s="1">
        <v>24</v>
      </c>
      <c r="J2" s="1">
        <v>23</v>
      </c>
      <c r="K2" s="1">
        <v>22</v>
      </c>
      <c r="L2" s="1">
        <v>21</v>
      </c>
      <c r="M2" s="1">
        <v>20</v>
      </c>
      <c r="N2" s="1">
        <v>19</v>
      </c>
      <c r="O2" s="1">
        <v>18</v>
      </c>
      <c r="P2" s="1">
        <v>17</v>
      </c>
      <c r="Q2" s="1">
        <v>16</v>
      </c>
      <c r="R2" s="1">
        <v>15</v>
      </c>
      <c r="S2" s="1">
        <v>14</v>
      </c>
      <c r="T2" s="1">
        <v>13</v>
      </c>
      <c r="U2" s="1">
        <v>12</v>
      </c>
      <c r="V2" s="1">
        <v>11</v>
      </c>
      <c r="W2" s="1">
        <v>10</v>
      </c>
      <c r="X2" s="1">
        <v>9</v>
      </c>
      <c r="Y2" s="1">
        <v>8</v>
      </c>
      <c r="Z2" s="1">
        <v>7</v>
      </c>
      <c r="AA2" s="1">
        <v>6</v>
      </c>
      <c r="AB2" s="1">
        <v>5</v>
      </c>
      <c r="AC2" s="1">
        <v>4</v>
      </c>
      <c r="AD2" s="1">
        <v>3</v>
      </c>
      <c r="AE2" s="1">
        <v>2</v>
      </c>
      <c r="AF2" s="1">
        <v>1</v>
      </c>
      <c r="AG2" s="1">
        <v>0</v>
      </c>
    </row>
    <row r="3" spans="1:33" x14ac:dyDescent="0.3">
      <c r="A3" s="2" t="s">
        <v>0</v>
      </c>
      <c r="B3" s="14" t="s">
        <v>10</v>
      </c>
      <c r="C3" s="15"/>
      <c r="D3" s="15"/>
      <c r="E3" s="15"/>
      <c r="F3" s="15"/>
      <c r="G3" s="15"/>
      <c r="H3" s="16"/>
      <c r="I3" s="14" t="s">
        <v>11</v>
      </c>
      <c r="J3" s="15"/>
      <c r="K3" s="15"/>
      <c r="L3" s="15"/>
      <c r="M3" s="16"/>
      <c r="N3" s="14" t="s">
        <v>12</v>
      </c>
      <c r="O3" s="15"/>
      <c r="P3" s="15"/>
      <c r="Q3" s="15"/>
      <c r="R3" s="16"/>
      <c r="S3" s="14" t="s">
        <v>13</v>
      </c>
      <c r="T3" s="15"/>
      <c r="U3" s="15"/>
      <c r="V3" s="15"/>
      <c r="W3" s="16"/>
      <c r="X3" s="14" t="s">
        <v>14</v>
      </c>
      <c r="Y3" s="15"/>
      <c r="Z3" s="15"/>
      <c r="AA3" s="16"/>
      <c r="AB3" s="14" t="s">
        <v>15</v>
      </c>
      <c r="AC3" s="15"/>
      <c r="AD3" s="15"/>
      <c r="AE3" s="15"/>
      <c r="AF3" s="16"/>
      <c r="AG3" s="3" t="s">
        <v>16</v>
      </c>
    </row>
    <row r="4" spans="1:33" x14ac:dyDescent="0.3">
      <c r="A4" s="2" t="s">
        <v>1</v>
      </c>
      <c r="B4" s="14" t="s">
        <v>17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4" t="s">
        <v>12</v>
      </c>
      <c r="O4" s="15"/>
      <c r="P4" s="15"/>
      <c r="Q4" s="15"/>
      <c r="R4" s="16"/>
      <c r="S4" s="14" t="s">
        <v>13</v>
      </c>
      <c r="T4" s="15"/>
      <c r="U4" s="15"/>
      <c r="V4" s="15"/>
      <c r="W4" s="16"/>
      <c r="X4" s="14" t="s">
        <v>14</v>
      </c>
      <c r="Y4" s="15"/>
      <c r="Z4" s="15"/>
      <c r="AA4" s="16"/>
      <c r="AB4" s="14" t="s">
        <v>15</v>
      </c>
      <c r="AC4" s="15"/>
      <c r="AD4" s="15"/>
      <c r="AE4" s="15"/>
      <c r="AF4" s="16"/>
      <c r="AG4" s="3" t="s">
        <v>16</v>
      </c>
    </row>
    <row r="5" spans="1:33" x14ac:dyDescent="0.3">
      <c r="A5" s="2" t="s">
        <v>2</v>
      </c>
      <c r="B5" s="14" t="s">
        <v>17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6"/>
      <c r="N5" s="14" t="s">
        <v>12</v>
      </c>
      <c r="O5" s="15"/>
      <c r="P5" s="15"/>
      <c r="Q5" s="15"/>
      <c r="R5" s="16"/>
      <c r="S5" s="14" t="s">
        <v>13</v>
      </c>
      <c r="T5" s="15"/>
      <c r="U5" s="15"/>
      <c r="V5" s="15"/>
      <c r="W5" s="16"/>
      <c r="X5" s="3" t="s">
        <v>19</v>
      </c>
      <c r="Y5" s="3" t="s">
        <v>18</v>
      </c>
      <c r="Z5" s="3" t="s">
        <v>3</v>
      </c>
      <c r="AA5" s="3" t="s">
        <v>5</v>
      </c>
      <c r="AB5" s="14" t="s">
        <v>15</v>
      </c>
      <c r="AC5" s="15"/>
      <c r="AD5" s="15"/>
      <c r="AE5" s="15"/>
      <c r="AF5" s="16"/>
      <c r="AG5" s="3" t="s">
        <v>16</v>
      </c>
    </row>
    <row r="6" spans="1:33" x14ac:dyDescent="0.3">
      <c r="A6" s="2" t="s">
        <v>3</v>
      </c>
      <c r="B6" s="14" t="s">
        <v>22</v>
      </c>
      <c r="C6" s="15"/>
      <c r="D6" s="15"/>
      <c r="E6" s="15"/>
      <c r="F6" s="15"/>
      <c r="G6" s="15"/>
      <c r="H6" s="16"/>
      <c r="I6" s="14" t="s">
        <v>11</v>
      </c>
      <c r="J6" s="15"/>
      <c r="K6" s="15"/>
      <c r="L6" s="15"/>
      <c r="M6" s="16"/>
      <c r="N6" s="14" t="s">
        <v>12</v>
      </c>
      <c r="O6" s="15"/>
      <c r="P6" s="15"/>
      <c r="Q6" s="15"/>
      <c r="R6" s="16"/>
      <c r="S6" s="14" t="s">
        <v>21</v>
      </c>
      <c r="T6" s="15"/>
      <c r="U6" s="15"/>
      <c r="V6" s="15"/>
      <c r="W6" s="16"/>
      <c r="X6" s="14" t="s">
        <v>20</v>
      </c>
      <c r="Y6" s="15"/>
      <c r="Z6" s="15"/>
      <c r="AA6" s="16"/>
      <c r="AB6" s="14" t="s">
        <v>15</v>
      </c>
      <c r="AC6" s="15"/>
      <c r="AD6" s="15"/>
      <c r="AE6" s="15"/>
      <c r="AF6" s="16"/>
      <c r="AG6" s="3" t="s">
        <v>16</v>
      </c>
    </row>
    <row r="7" spans="1:33" x14ac:dyDescent="0.3">
      <c r="A7" s="2" t="s">
        <v>4</v>
      </c>
      <c r="B7" s="14" t="s">
        <v>24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6"/>
      <c r="S7" s="14" t="s">
        <v>13</v>
      </c>
      <c r="T7" s="15"/>
      <c r="U7" s="15"/>
      <c r="V7" s="15"/>
      <c r="W7" s="16"/>
      <c r="X7" s="14" t="s">
        <v>23</v>
      </c>
      <c r="Y7" s="15"/>
      <c r="Z7" s="15"/>
      <c r="AA7" s="16"/>
      <c r="AB7" s="14" t="s">
        <v>15</v>
      </c>
      <c r="AC7" s="15"/>
      <c r="AD7" s="15"/>
      <c r="AE7" s="15"/>
      <c r="AF7" s="16"/>
      <c r="AG7" s="3" t="s">
        <v>16</v>
      </c>
    </row>
    <row r="8" spans="1:33" x14ac:dyDescent="0.3">
      <c r="A8" s="2" t="s">
        <v>5</v>
      </c>
      <c r="B8" s="14" t="s">
        <v>25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6"/>
      <c r="V8" s="3">
        <v>0</v>
      </c>
      <c r="W8" s="3">
        <v>0</v>
      </c>
      <c r="X8" s="14" t="s">
        <v>14</v>
      </c>
      <c r="Y8" s="15"/>
      <c r="Z8" s="15"/>
      <c r="AA8" s="16"/>
      <c r="AB8" s="14" t="s">
        <v>15</v>
      </c>
      <c r="AC8" s="15"/>
      <c r="AD8" s="15"/>
      <c r="AE8" s="15"/>
      <c r="AF8" s="16"/>
      <c r="AG8" s="3" t="s">
        <v>16</v>
      </c>
    </row>
    <row r="9" spans="1:33" x14ac:dyDescent="0.3">
      <c r="A9" s="2" t="s">
        <v>7</v>
      </c>
      <c r="B9" s="14" t="s">
        <v>28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6"/>
      <c r="R9" s="14" t="s">
        <v>27</v>
      </c>
      <c r="S9" s="15"/>
      <c r="T9" s="16"/>
      <c r="U9" s="14" t="s">
        <v>26</v>
      </c>
      <c r="V9" s="15"/>
      <c r="W9" s="16"/>
      <c r="X9" s="3" t="s">
        <v>19</v>
      </c>
      <c r="Y9" s="3" t="s">
        <v>18</v>
      </c>
      <c r="Z9" s="3" t="s">
        <v>3</v>
      </c>
      <c r="AA9" s="3" t="s">
        <v>5</v>
      </c>
      <c r="AB9" s="14" t="s">
        <v>15</v>
      </c>
      <c r="AC9" s="15"/>
      <c r="AD9" s="15"/>
      <c r="AE9" s="15"/>
      <c r="AF9" s="16"/>
      <c r="AG9" s="3" t="s">
        <v>16</v>
      </c>
    </row>
    <row r="10" spans="1:33" x14ac:dyDescent="0.3">
      <c r="A10" s="2" t="s">
        <v>6</v>
      </c>
      <c r="B10" s="14" t="s">
        <v>10</v>
      </c>
      <c r="C10" s="15"/>
      <c r="D10" s="15"/>
      <c r="E10" s="15"/>
      <c r="F10" s="15"/>
      <c r="G10" s="15"/>
      <c r="H10" s="16"/>
      <c r="I10" s="14" t="s">
        <v>30</v>
      </c>
      <c r="J10" s="15"/>
      <c r="K10" s="16"/>
      <c r="L10" s="14" t="s">
        <v>31</v>
      </c>
      <c r="M10" s="15"/>
      <c r="N10" s="16"/>
      <c r="O10" s="14" t="s">
        <v>29</v>
      </c>
      <c r="P10" s="15"/>
      <c r="Q10" s="16"/>
      <c r="R10" s="14" t="s">
        <v>27</v>
      </c>
      <c r="S10" s="15"/>
      <c r="T10" s="16"/>
      <c r="U10" s="14" t="s">
        <v>26</v>
      </c>
      <c r="V10" s="15"/>
      <c r="W10" s="16"/>
      <c r="X10" s="14" t="s">
        <v>14</v>
      </c>
      <c r="Y10" s="15"/>
      <c r="Z10" s="15"/>
      <c r="AA10" s="16"/>
      <c r="AB10" s="14" t="s">
        <v>15</v>
      </c>
      <c r="AC10" s="15"/>
      <c r="AD10" s="15"/>
      <c r="AE10" s="15"/>
      <c r="AF10" s="16"/>
      <c r="AG10" s="3" t="s">
        <v>16</v>
      </c>
    </row>
    <row r="11" spans="1:33" x14ac:dyDescent="0.3">
      <c r="A11" s="2" t="s">
        <v>8</v>
      </c>
      <c r="B11" s="14" t="s">
        <v>28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6"/>
      <c r="R11" s="14" t="s">
        <v>27</v>
      </c>
      <c r="S11" s="15"/>
      <c r="T11" s="16"/>
      <c r="U11" s="14" t="s">
        <v>26</v>
      </c>
      <c r="V11" s="15"/>
      <c r="W11" s="16"/>
      <c r="X11" s="14" t="s">
        <v>14</v>
      </c>
      <c r="Y11" s="15"/>
      <c r="Z11" s="15"/>
      <c r="AA11" s="16"/>
      <c r="AB11" s="14" t="s">
        <v>15</v>
      </c>
      <c r="AC11" s="15"/>
      <c r="AD11" s="15"/>
      <c r="AE11" s="15"/>
      <c r="AF11" s="16"/>
      <c r="AG11" s="3" t="s">
        <v>16</v>
      </c>
    </row>
    <row r="12" spans="1:33" x14ac:dyDescent="0.3">
      <c r="A12" s="17" t="s">
        <v>9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14" t="s">
        <v>12</v>
      </c>
      <c r="O12" s="15"/>
      <c r="P12" s="15"/>
      <c r="Q12" s="15"/>
      <c r="R12" s="16"/>
      <c r="S12" s="3">
        <v>0</v>
      </c>
      <c r="T12" s="3">
        <v>0</v>
      </c>
      <c r="U12" s="14" t="s">
        <v>26</v>
      </c>
      <c r="V12" s="15"/>
      <c r="W12" s="16"/>
      <c r="X12" s="18" t="s">
        <v>14</v>
      </c>
      <c r="Y12" s="19"/>
      <c r="Z12" s="19"/>
      <c r="AA12" s="20"/>
      <c r="AB12" s="18" t="s">
        <v>15</v>
      </c>
      <c r="AC12" s="19"/>
      <c r="AD12" s="19"/>
      <c r="AE12" s="19"/>
      <c r="AF12" s="20"/>
      <c r="AG12" s="24" t="s">
        <v>16</v>
      </c>
    </row>
    <row r="13" spans="1:33" x14ac:dyDescent="0.3">
      <c r="A13" s="17"/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14" t="s">
        <v>29</v>
      </c>
      <c r="P13" s="15"/>
      <c r="Q13" s="16"/>
      <c r="R13" s="9">
        <v>0</v>
      </c>
      <c r="S13" s="14" t="s">
        <v>13</v>
      </c>
      <c r="T13" s="15"/>
      <c r="U13" s="15"/>
      <c r="V13" s="15"/>
      <c r="W13" s="16"/>
      <c r="X13" s="21"/>
      <c r="Y13" s="22"/>
      <c r="Z13" s="22"/>
      <c r="AA13" s="23"/>
      <c r="AB13" s="21"/>
      <c r="AC13" s="22"/>
      <c r="AD13" s="22"/>
      <c r="AE13" s="22"/>
      <c r="AF13" s="23"/>
      <c r="AG13" s="25"/>
    </row>
  </sheetData>
  <mergeCells count="53">
    <mergeCell ref="A12:A13"/>
    <mergeCell ref="X12:AA13"/>
    <mergeCell ref="AB12:AF13"/>
    <mergeCell ref="AG12:AG13"/>
    <mergeCell ref="S13:W13"/>
    <mergeCell ref="O13:Q13"/>
    <mergeCell ref="B11:Q11"/>
    <mergeCell ref="U12:W12"/>
    <mergeCell ref="N12:R12"/>
    <mergeCell ref="R11:T11"/>
    <mergeCell ref="U11:W11"/>
    <mergeCell ref="X11:AA11"/>
    <mergeCell ref="AB11:AF11"/>
    <mergeCell ref="AB9:AF9"/>
    <mergeCell ref="U9:W9"/>
    <mergeCell ref="R9:T9"/>
    <mergeCell ref="B9:Q9"/>
    <mergeCell ref="X10:AA10"/>
    <mergeCell ref="AB10:AF10"/>
    <mergeCell ref="R10:T10"/>
    <mergeCell ref="U10:W10"/>
    <mergeCell ref="O10:Q10"/>
    <mergeCell ref="I10:K10"/>
    <mergeCell ref="B10:H10"/>
    <mergeCell ref="L10:N10"/>
    <mergeCell ref="AB7:AF7"/>
    <mergeCell ref="X7:AA7"/>
    <mergeCell ref="S7:W7"/>
    <mergeCell ref="B7:R7"/>
    <mergeCell ref="X8:AA8"/>
    <mergeCell ref="AB8:AF8"/>
    <mergeCell ref="B8:U8"/>
    <mergeCell ref="AB6:AF6"/>
    <mergeCell ref="X6:AA6"/>
    <mergeCell ref="I6:M6"/>
    <mergeCell ref="N6:R6"/>
    <mergeCell ref="S6:W6"/>
    <mergeCell ref="B6:H6"/>
    <mergeCell ref="B4:M4"/>
    <mergeCell ref="N4:R4"/>
    <mergeCell ref="S4:W4"/>
    <mergeCell ref="X4:AA4"/>
    <mergeCell ref="AB4:AF4"/>
    <mergeCell ref="B5:M5"/>
    <mergeCell ref="N5:R5"/>
    <mergeCell ref="S5:W5"/>
    <mergeCell ref="AB5:AF5"/>
    <mergeCell ref="AB3:AF3"/>
    <mergeCell ref="B3:H3"/>
    <mergeCell ref="I3:M3"/>
    <mergeCell ref="N3:R3"/>
    <mergeCell ref="S3:W3"/>
    <mergeCell ref="X3:A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0CF8-F0FC-43B5-8B1F-488A2F898887}">
  <dimension ref="A2:AM49"/>
  <sheetViews>
    <sheetView tabSelected="1" zoomScale="115" zoomScaleNormal="115" workbookViewId="0">
      <pane ySplit="2" topLeftCell="A33" activePane="bottomLeft" state="frozen"/>
      <selection pane="bottomLeft" activeCell="AH45" sqref="AH45"/>
    </sheetView>
  </sheetViews>
  <sheetFormatPr defaultRowHeight="14.4" x14ac:dyDescent="0.3"/>
  <cols>
    <col min="1" max="1" width="8.88671875" style="10"/>
    <col min="2" max="2" width="19.44140625" customWidth="1"/>
    <col min="3" max="34" width="3.44140625" customWidth="1"/>
    <col min="35" max="38" width="4.21875" customWidth="1"/>
    <col min="39" max="39" width="12.6640625" customWidth="1"/>
  </cols>
  <sheetData>
    <row r="2" spans="1:39" x14ac:dyDescent="0.3">
      <c r="C2" s="8">
        <v>31</v>
      </c>
      <c r="D2" s="8">
        <v>30</v>
      </c>
      <c r="E2" s="8">
        <v>29</v>
      </c>
      <c r="F2" s="8">
        <v>28</v>
      </c>
      <c r="G2" s="8">
        <v>27</v>
      </c>
      <c r="H2" s="8">
        <v>26</v>
      </c>
      <c r="I2" s="8">
        <v>25</v>
      </c>
      <c r="J2" s="8">
        <v>24</v>
      </c>
      <c r="K2" s="7">
        <v>23</v>
      </c>
      <c r="L2" s="7">
        <v>22</v>
      </c>
      <c r="M2" s="7">
        <v>21</v>
      </c>
      <c r="N2" s="7">
        <v>20</v>
      </c>
      <c r="O2" s="7">
        <v>19</v>
      </c>
      <c r="P2" s="7">
        <v>18</v>
      </c>
      <c r="Q2" s="7">
        <v>17</v>
      </c>
      <c r="R2" s="7">
        <v>16</v>
      </c>
      <c r="S2" s="6">
        <v>15</v>
      </c>
      <c r="T2" s="6">
        <v>14</v>
      </c>
      <c r="U2" s="6">
        <v>13</v>
      </c>
      <c r="V2" s="6">
        <v>12</v>
      </c>
      <c r="W2" s="6">
        <v>11</v>
      </c>
      <c r="X2" s="6">
        <v>10</v>
      </c>
      <c r="Y2" s="6">
        <v>9</v>
      </c>
      <c r="Z2" s="6">
        <v>8</v>
      </c>
      <c r="AA2" s="5">
        <v>7</v>
      </c>
      <c r="AB2" s="5">
        <v>6</v>
      </c>
      <c r="AC2" s="5">
        <v>5</v>
      </c>
      <c r="AD2" s="5">
        <v>4</v>
      </c>
      <c r="AE2" s="5">
        <v>3</v>
      </c>
      <c r="AF2" s="5">
        <v>2</v>
      </c>
      <c r="AG2" s="5">
        <v>1</v>
      </c>
      <c r="AH2" s="5">
        <v>0</v>
      </c>
      <c r="AI2" s="13" t="s">
        <v>32</v>
      </c>
      <c r="AJ2" s="13"/>
      <c r="AK2" s="13"/>
      <c r="AL2" s="13"/>
      <c r="AM2" s="4" t="s">
        <v>33</v>
      </c>
    </row>
    <row r="3" spans="1:39" x14ac:dyDescent="0.3">
      <c r="A3" s="10" t="s">
        <v>35</v>
      </c>
      <c r="B3" s="2" t="s">
        <v>34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31">
        <v>0</v>
      </c>
      <c r="K3" s="31">
        <v>0</v>
      </c>
      <c r="L3" s="31">
        <v>0</v>
      </c>
      <c r="M3" s="31">
        <v>0</v>
      </c>
      <c r="N3" s="31">
        <v>0</v>
      </c>
      <c r="O3" s="30">
        <v>0</v>
      </c>
      <c r="P3" s="30">
        <v>0</v>
      </c>
      <c r="Q3" s="30">
        <v>0</v>
      </c>
      <c r="R3" s="30">
        <v>0</v>
      </c>
      <c r="S3" s="30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7">
        <v>0</v>
      </c>
      <c r="Z3" s="27">
        <v>0</v>
      </c>
      <c r="AA3" s="27">
        <v>1</v>
      </c>
      <c r="AB3" s="27">
        <v>0</v>
      </c>
      <c r="AC3" s="26">
        <v>0</v>
      </c>
      <c r="AD3" s="26">
        <v>0</v>
      </c>
      <c r="AE3" s="26">
        <v>0</v>
      </c>
      <c r="AF3" s="26">
        <v>0</v>
      </c>
      <c r="AG3" s="26">
        <v>0</v>
      </c>
      <c r="AH3" s="29">
        <v>0</v>
      </c>
      <c r="AI3" s="8" t="str">
        <f>BIN2HEX(_xlfn.CONCAT(C3:J3),2)</f>
        <v>00</v>
      </c>
      <c r="AJ3" s="7" t="str">
        <f>BIN2HEX(_xlfn.CONCAT(K3:R3),2)</f>
        <v>00</v>
      </c>
      <c r="AK3" s="6" t="str">
        <f>BIN2HEX(_xlfn.CONCAT(S3:Z3),2)</f>
        <v>00</v>
      </c>
      <c r="AL3" s="5" t="str">
        <f>BIN2HEX(_xlfn.CONCAT(AA3:AH3),2)</f>
        <v>80</v>
      </c>
      <c r="AM3" t="str">
        <f>_xlfn.CONCAT("0x",AI3:AL3)</f>
        <v>0x00000080</v>
      </c>
    </row>
    <row r="4" spans="1:39" x14ac:dyDescent="0.3">
      <c r="B4" s="2" t="s">
        <v>36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31">
        <v>1</v>
      </c>
      <c r="K4" s="31">
        <v>0</v>
      </c>
      <c r="L4" s="31">
        <v>0</v>
      </c>
      <c r="M4" s="31">
        <v>0</v>
      </c>
      <c r="N4" s="31">
        <v>1</v>
      </c>
      <c r="O4" s="30">
        <v>1</v>
      </c>
      <c r="P4" s="30">
        <v>0</v>
      </c>
      <c r="Q4" s="30">
        <v>0</v>
      </c>
      <c r="R4" s="30">
        <v>0</v>
      </c>
      <c r="S4" s="30">
        <v>0</v>
      </c>
      <c r="T4" s="28">
        <v>0</v>
      </c>
      <c r="U4" s="28">
        <v>0</v>
      </c>
      <c r="V4" s="28">
        <v>1</v>
      </c>
      <c r="W4" s="28">
        <v>0</v>
      </c>
      <c r="X4" s="28">
        <v>1</v>
      </c>
      <c r="Y4" s="27">
        <v>0</v>
      </c>
      <c r="Z4" s="27">
        <v>0</v>
      </c>
      <c r="AA4" s="27">
        <v>1</v>
      </c>
      <c r="AB4" s="27">
        <v>0</v>
      </c>
      <c r="AC4" s="26">
        <v>0</v>
      </c>
      <c r="AD4" s="26">
        <v>0</v>
      </c>
      <c r="AE4" s="26">
        <v>0</v>
      </c>
      <c r="AF4" s="26">
        <v>0</v>
      </c>
      <c r="AG4" s="26">
        <v>0</v>
      </c>
      <c r="AH4" s="29">
        <v>0</v>
      </c>
      <c r="AI4" s="8" t="str">
        <f t="shared" ref="AI4:AI8" si="0">BIN2HEX(_xlfn.CONCAT(C4:J4),2)</f>
        <v>01</v>
      </c>
      <c r="AJ4" s="7" t="str">
        <f t="shared" ref="AJ4:AJ8" si="1">BIN2HEX(_xlfn.CONCAT(K4:R4),2)</f>
        <v>18</v>
      </c>
      <c r="AK4" s="6" t="str">
        <f t="shared" ref="AK4:AK8" si="2">BIN2HEX(_xlfn.CONCAT(S4:Z4),2)</f>
        <v>14</v>
      </c>
      <c r="AL4" s="5" t="str">
        <f t="shared" ref="AL4:AL8" si="3">BIN2HEX(_xlfn.CONCAT(AA4:AH4),2)</f>
        <v>80</v>
      </c>
      <c r="AM4" t="str">
        <f>_xlfn.CONCAT("0x",AI4:AL4)</f>
        <v>0x01181480</v>
      </c>
    </row>
    <row r="5" spans="1:39" x14ac:dyDescent="0.3">
      <c r="B5" s="2" t="s">
        <v>37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1</v>
      </c>
      <c r="M5" s="12">
        <v>1</v>
      </c>
      <c r="N5" s="12">
        <v>1</v>
      </c>
      <c r="O5" s="30">
        <v>0</v>
      </c>
      <c r="P5" s="30">
        <v>0</v>
      </c>
      <c r="Q5" s="30">
        <v>0</v>
      </c>
      <c r="R5" s="30">
        <v>0</v>
      </c>
      <c r="S5" s="30">
        <v>1</v>
      </c>
      <c r="T5" s="28">
        <v>0</v>
      </c>
      <c r="U5" s="28">
        <v>0</v>
      </c>
      <c r="V5" s="28">
        <v>0</v>
      </c>
      <c r="W5" s="28">
        <v>1</v>
      </c>
      <c r="X5" s="28">
        <v>1</v>
      </c>
      <c r="Y5" s="27">
        <v>0</v>
      </c>
      <c r="Z5" s="27">
        <v>1</v>
      </c>
      <c r="AA5" s="27">
        <v>0</v>
      </c>
      <c r="AB5" s="27">
        <v>0</v>
      </c>
      <c r="AC5" s="26">
        <v>0</v>
      </c>
      <c r="AD5" s="26">
        <v>0</v>
      </c>
      <c r="AE5" s="26">
        <v>0</v>
      </c>
      <c r="AF5" s="26">
        <v>0</v>
      </c>
      <c r="AG5" s="26">
        <v>1</v>
      </c>
      <c r="AH5" s="29">
        <v>1</v>
      </c>
      <c r="AI5" s="8" t="str">
        <f t="shared" si="0"/>
        <v>00</v>
      </c>
      <c r="AJ5" s="7" t="str">
        <f t="shared" si="1"/>
        <v>70</v>
      </c>
      <c r="AK5" s="6" t="str">
        <f t="shared" si="2"/>
        <v>8D</v>
      </c>
      <c r="AL5" s="5" t="str">
        <f t="shared" si="3"/>
        <v>03</v>
      </c>
      <c r="AM5" t="str">
        <f t="shared" ref="AM5:AM8" si="4">_xlfn.CONCAT("0x",AI5:AL5)</f>
        <v>0x00708D03</v>
      </c>
    </row>
    <row r="6" spans="1:39" x14ac:dyDescent="0.3">
      <c r="B6" s="2" t="s">
        <v>63</v>
      </c>
      <c r="C6" s="12">
        <v>1</v>
      </c>
      <c r="D6" s="12">
        <v>1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31">
        <v>1</v>
      </c>
      <c r="K6" s="31">
        <v>0</v>
      </c>
      <c r="L6" s="31">
        <v>1</v>
      </c>
      <c r="M6" s="31">
        <v>0</v>
      </c>
      <c r="N6" s="31">
        <v>1</v>
      </c>
      <c r="O6" s="30">
        <v>1</v>
      </c>
      <c r="P6" s="30">
        <v>0</v>
      </c>
      <c r="Q6" s="30">
        <v>0</v>
      </c>
      <c r="R6" s="30">
        <v>1</v>
      </c>
      <c r="S6" s="30">
        <v>1</v>
      </c>
      <c r="T6" s="12">
        <v>1</v>
      </c>
      <c r="U6" s="12">
        <v>1</v>
      </c>
      <c r="V6" s="12">
        <v>1</v>
      </c>
      <c r="W6" s="12">
        <v>0</v>
      </c>
      <c r="X6" s="12">
        <v>0</v>
      </c>
      <c r="Y6" s="27">
        <v>0</v>
      </c>
      <c r="Z6" s="27">
        <v>1</v>
      </c>
      <c r="AA6" s="27">
        <v>0</v>
      </c>
      <c r="AB6" s="27">
        <v>0</v>
      </c>
      <c r="AC6" s="26">
        <v>0</v>
      </c>
      <c r="AD6" s="26">
        <v>1</v>
      </c>
      <c r="AE6" s="26">
        <v>0</v>
      </c>
      <c r="AF6" s="26">
        <v>0</v>
      </c>
      <c r="AG6" s="26">
        <v>0</v>
      </c>
      <c r="AH6" s="29">
        <v>0</v>
      </c>
      <c r="AI6" s="8" t="str">
        <f>BIN2HEX(_xlfn.CONCAT(C6:J6),2)</f>
        <v>FF</v>
      </c>
      <c r="AJ6" s="7" t="str">
        <f t="shared" si="1"/>
        <v>59</v>
      </c>
      <c r="AK6" s="6" t="str">
        <f t="shared" si="2"/>
        <v>F1</v>
      </c>
      <c r="AL6" s="5" t="str">
        <f t="shared" si="3"/>
        <v>10</v>
      </c>
      <c r="AM6" t="str">
        <f t="shared" si="4"/>
        <v>0xFF59F110</v>
      </c>
    </row>
    <row r="7" spans="1:39" x14ac:dyDescent="0.3">
      <c r="B7" s="2" t="s">
        <v>44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1</v>
      </c>
      <c r="N7" s="12">
        <v>1</v>
      </c>
      <c r="O7" s="30">
        <v>0</v>
      </c>
      <c r="P7" s="30">
        <v>0</v>
      </c>
      <c r="Q7" s="30">
        <v>0</v>
      </c>
      <c r="R7" s="30">
        <v>1</v>
      </c>
      <c r="S7" s="30">
        <v>0</v>
      </c>
      <c r="T7" s="28">
        <v>0</v>
      </c>
      <c r="U7" s="28">
        <v>1</v>
      </c>
      <c r="V7" s="28">
        <v>1</v>
      </c>
      <c r="W7" s="28">
        <v>1</v>
      </c>
      <c r="X7" s="28">
        <v>0</v>
      </c>
      <c r="Y7" s="27">
        <v>0</v>
      </c>
      <c r="Z7" s="27">
        <v>0</v>
      </c>
      <c r="AA7" s="27">
        <v>1</v>
      </c>
      <c r="AB7" s="27">
        <v>1</v>
      </c>
      <c r="AC7" s="26">
        <v>0</v>
      </c>
      <c r="AD7" s="26">
        <v>0</v>
      </c>
      <c r="AE7" s="26">
        <v>1</v>
      </c>
      <c r="AF7" s="26">
        <v>0</v>
      </c>
      <c r="AG7" s="26">
        <v>0</v>
      </c>
      <c r="AH7" s="29">
        <v>0</v>
      </c>
      <c r="AI7" s="8" t="str">
        <f t="shared" si="0"/>
        <v>00</v>
      </c>
      <c r="AJ7" s="7" t="str">
        <f t="shared" si="1"/>
        <v>31</v>
      </c>
      <c r="AK7" s="6" t="str">
        <f t="shared" si="2"/>
        <v>38</v>
      </c>
      <c r="AL7" s="5" t="str">
        <f t="shared" si="3"/>
        <v>C8</v>
      </c>
      <c r="AM7" t="str">
        <f t="shared" si="4"/>
        <v>0x003138C8</v>
      </c>
    </row>
    <row r="8" spans="1:39" x14ac:dyDescent="0.3">
      <c r="B8" s="2" t="s">
        <v>45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1</v>
      </c>
      <c r="M8" s="12">
        <v>0</v>
      </c>
      <c r="N8" s="12">
        <v>0</v>
      </c>
      <c r="O8" s="30">
        <v>0</v>
      </c>
      <c r="P8" s="30">
        <v>0</v>
      </c>
      <c r="Q8" s="30">
        <v>0</v>
      </c>
      <c r="R8" s="30">
        <v>1</v>
      </c>
      <c r="S8" s="30">
        <v>0</v>
      </c>
      <c r="T8" s="28">
        <v>1</v>
      </c>
      <c r="U8" s="28">
        <v>0</v>
      </c>
      <c r="V8" s="28">
        <v>0</v>
      </c>
      <c r="W8" s="28">
        <v>1</v>
      </c>
      <c r="X8" s="28">
        <v>1</v>
      </c>
      <c r="Y8" s="27">
        <v>1</v>
      </c>
      <c r="Z8" s="27">
        <v>0</v>
      </c>
      <c r="AA8" s="27">
        <v>0</v>
      </c>
      <c r="AB8" s="27">
        <v>0</v>
      </c>
      <c r="AC8" s="26">
        <v>0</v>
      </c>
      <c r="AD8" s="26">
        <v>0</v>
      </c>
      <c r="AE8" s="26">
        <v>1</v>
      </c>
      <c r="AF8" s="26">
        <v>0</v>
      </c>
      <c r="AG8" s="26">
        <v>1</v>
      </c>
      <c r="AH8" s="29">
        <v>0</v>
      </c>
      <c r="AI8" s="8" t="str">
        <f t="shared" si="0"/>
        <v>00</v>
      </c>
      <c r="AJ8" s="7" t="str">
        <f t="shared" si="1"/>
        <v>41</v>
      </c>
      <c r="AK8" s="6" t="str">
        <f t="shared" si="2"/>
        <v>4E</v>
      </c>
      <c r="AL8" s="5" t="str">
        <f t="shared" si="3"/>
        <v>0A</v>
      </c>
      <c r="AM8" t="str">
        <f t="shared" si="4"/>
        <v>0x00414E0A</v>
      </c>
    </row>
    <row r="9" spans="1:39" x14ac:dyDescent="0.3">
      <c r="B9" s="2" t="s">
        <v>38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28">
        <v>0</v>
      </c>
      <c r="U9" s="28">
        <v>0</v>
      </c>
      <c r="V9" s="28">
        <v>0</v>
      </c>
      <c r="W9" s="28">
        <v>0</v>
      </c>
      <c r="X9" s="28">
        <v>1</v>
      </c>
      <c r="Y9" s="12">
        <v>1</v>
      </c>
      <c r="Z9" s="12">
        <v>0</v>
      </c>
      <c r="AA9" s="12">
        <v>1</v>
      </c>
      <c r="AB9" s="12">
        <v>1</v>
      </c>
      <c r="AC9" s="26">
        <v>0</v>
      </c>
      <c r="AD9" s="26">
        <v>1</v>
      </c>
      <c r="AE9" s="26">
        <v>0</v>
      </c>
      <c r="AF9" s="26">
        <v>0</v>
      </c>
      <c r="AG9" s="26">
        <v>1</v>
      </c>
      <c r="AH9" s="29">
        <v>0</v>
      </c>
      <c r="AI9" s="8" t="str">
        <f t="shared" ref="AI9:AI18" si="5">BIN2HEX(_xlfn.CONCAT(C9:J9),2)</f>
        <v>00</v>
      </c>
      <c r="AJ9" s="7" t="str">
        <f t="shared" ref="AJ9:AJ18" si="6">BIN2HEX(_xlfn.CONCAT(K9:R9),2)</f>
        <v>00</v>
      </c>
      <c r="AK9" s="6" t="str">
        <f t="shared" ref="AK9:AK18" si="7">BIN2HEX(_xlfn.CONCAT(S9:Z9),2)</f>
        <v>06</v>
      </c>
      <c r="AL9" s="5" t="str">
        <f t="shared" ref="AL9:AL18" si="8">BIN2HEX(_xlfn.CONCAT(AA9:AH9),2)</f>
        <v>D2</v>
      </c>
      <c r="AM9" t="str">
        <f t="shared" ref="AM9:AM18" si="9">_xlfn.CONCAT("0x",AI9:AL9)</f>
        <v>0x000006D2</v>
      </c>
    </row>
    <row r="10" spans="1:39" x14ac:dyDescent="0.3">
      <c r="B10" s="2" t="s">
        <v>39</v>
      </c>
      <c r="C10" s="12">
        <v>1</v>
      </c>
      <c r="D10" s="12">
        <v>0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0</v>
      </c>
      <c r="K10" s="12">
        <v>1</v>
      </c>
      <c r="L10" s="12">
        <v>1</v>
      </c>
      <c r="M10" s="12">
        <v>1</v>
      </c>
      <c r="N10" s="12">
        <v>0</v>
      </c>
      <c r="O10" s="12">
        <v>1</v>
      </c>
      <c r="P10" s="12">
        <v>1</v>
      </c>
      <c r="Q10" s="12">
        <v>1</v>
      </c>
      <c r="R10" s="12">
        <v>1</v>
      </c>
      <c r="S10" s="12">
        <v>0</v>
      </c>
      <c r="T10" s="12">
        <v>0</v>
      </c>
      <c r="U10" s="12">
        <v>0</v>
      </c>
      <c r="V10" s="12">
        <v>0</v>
      </c>
      <c r="W10" s="32">
        <v>0</v>
      </c>
      <c r="X10" s="32">
        <v>0</v>
      </c>
      <c r="Y10" s="27">
        <v>0</v>
      </c>
      <c r="Z10" s="27">
        <v>0</v>
      </c>
      <c r="AA10" s="27">
        <v>0</v>
      </c>
      <c r="AB10" s="27">
        <v>0</v>
      </c>
      <c r="AC10" s="26">
        <v>1</v>
      </c>
      <c r="AD10" s="26">
        <v>0</v>
      </c>
      <c r="AE10" s="26">
        <v>0</v>
      </c>
      <c r="AF10" s="26">
        <v>0</v>
      </c>
      <c r="AG10" s="26">
        <v>1</v>
      </c>
      <c r="AH10" s="29">
        <v>0</v>
      </c>
      <c r="AI10" s="8" t="str">
        <f t="shared" si="5"/>
        <v>BE</v>
      </c>
      <c r="AJ10" s="7" t="str">
        <f t="shared" si="6"/>
        <v>EF</v>
      </c>
      <c r="AK10" s="6" t="str">
        <f t="shared" si="7"/>
        <v>00</v>
      </c>
      <c r="AL10" s="5" t="str">
        <f t="shared" si="8"/>
        <v>22</v>
      </c>
      <c r="AM10" t="str">
        <f t="shared" si="9"/>
        <v>0xBEEF0022</v>
      </c>
    </row>
    <row r="11" spans="1:39" x14ac:dyDescent="0.3">
      <c r="B11" s="2" t="s">
        <v>40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32">
        <v>0</v>
      </c>
      <c r="X11" s="32">
        <v>0</v>
      </c>
      <c r="Y11" s="27">
        <v>0</v>
      </c>
      <c r="Z11" s="27">
        <v>0</v>
      </c>
      <c r="AA11" s="27">
        <v>0</v>
      </c>
      <c r="AB11" s="27">
        <v>1</v>
      </c>
      <c r="AC11" s="26">
        <v>1</v>
      </c>
      <c r="AD11" s="26">
        <v>0</v>
      </c>
      <c r="AE11" s="26">
        <v>0</v>
      </c>
      <c r="AF11" s="26">
        <v>0</v>
      </c>
      <c r="AG11" s="26">
        <v>1</v>
      </c>
      <c r="AH11" s="29">
        <v>0</v>
      </c>
      <c r="AI11" s="8" t="str">
        <f t="shared" si="5"/>
        <v>00</v>
      </c>
      <c r="AJ11" s="7" t="str">
        <f t="shared" si="6"/>
        <v>00</v>
      </c>
      <c r="AK11" s="6" t="str">
        <f t="shared" si="7"/>
        <v>00</v>
      </c>
      <c r="AL11" s="5" t="str">
        <f t="shared" si="8"/>
        <v>62</v>
      </c>
      <c r="AM11" t="str">
        <f t="shared" si="9"/>
        <v>0x00000062</v>
      </c>
    </row>
    <row r="12" spans="1:39" x14ac:dyDescent="0.3">
      <c r="B12" s="2" t="s">
        <v>41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27">
        <v>0</v>
      </c>
      <c r="K12" s="27">
        <v>0</v>
      </c>
      <c r="L12" s="27">
        <v>0</v>
      </c>
      <c r="M12" s="30">
        <v>0</v>
      </c>
      <c r="N12" s="30">
        <v>0</v>
      </c>
      <c r="O12" s="30">
        <v>0</v>
      </c>
      <c r="P12" s="31">
        <v>0</v>
      </c>
      <c r="Q12" s="31">
        <v>1</v>
      </c>
      <c r="R12" s="31">
        <v>0</v>
      </c>
      <c r="S12" s="30">
        <v>0</v>
      </c>
      <c r="T12" s="30">
        <v>0</v>
      </c>
      <c r="U12" s="30">
        <v>1</v>
      </c>
      <c r="V12" s="28">
        <v>0</v>
      </c>
      <c r="W12" s="28">
        <v>0</v>
      </c>
      <c r="X12" s="28">
        <v>0</v>
      </c>
      <c r="Y12" s="27">
        <v>0</v>
      </c>
      <c r="Z12" s="27">
        <v>1</v>
      </c>
      <c r="AA12" s="27">
        <v>0</v>
      </c>
      <c r="AB12" s="27">
        <v>1</v>
      </c>
      <c r="AC12" s="26">
        <v>0</v>
      </c>
      <c r="AD12" s="26">
        <v>0</v>
      </c>
      <c r="AE12" s="26">
        <v>0</v>
      </c>
      <c r="AF12" s="26">
        <v>1</v>
      </c>
      <c r="AG12" s="26">
        <v>0</v>
      </c>
      <c r="AH12" s="29">
        <v>0</v>
      </c>
      <c r="AI12" s="8" t="str">
        <f t="shared" si="5"/>
        <v>00</v>
      </c>
      <c r="AJ12" s="7" t="str">
        <f t="shared" si="6"/>
        <v>02</v>
      </c>
      <c r="AK12" s="6" t="str">
        <f t="shared" si="7"/>
        <v>21</v>
      </c>
      <c r="AL12" s="5" t="str">
        <f t="shared" si="8"/>
        <v>44</v>
      </c>
      <c r="AM12" t="str">
        <f t="shared" si="9"/>
        <v>0x00022144</v>
      </c>
    </row>
    <row r="13" spans="1:39" x14ac:dyDescent="0.3">
      <c r="B13" s="2" t="s">
        <v>42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1</v>
      </c>
      <c r="Q13" s="12">
        <v>1</v>
      </c>
      <c r="R13" s="12">
        <v>0</v>
      </c>
      <c r="S13" s="30">
        <v>0</v>
      </c>
      <c r="T13" s="30">
        <v>0</v>
      </c>
      <c r="U13" s="30">
        <v>0</v>
      </c>
      <c r="V13" s="28">
        <v>1</v>
      </c>
      <c r="W13" s="28">
        <v>0</v>
      </c>
      <c r="X13" s="28">
        <v>1</v>
      </c>
      <c r="Y13" s="27">
        <v>0</v>
      </c>
      <c r="Z13" s="27">
        <v>0</v>
      </c>
      <c r="AA13" s="27">
        <v>0</v>
      </c>
      <c r="AB13" s="27">
        <v>0</v>
      </c>
      <c r="AC13" s="26">
        <v>0</v>
      </c>
      <c r="AD13" s="26">
        <v>0</v>
      </c>
      <c r="AE13" s="26">
        <v>0</v>
      </c>
      <c r="AF13" s="26">
        <v>1</v>
      </c>
      <c r="AG13" s="26">
        <v>1</v>
      </c>
      <c r="AH13" s="29">
        <v>0</v>
      </c>
      <c r="AI13" s="8" t="str">
        <f t="shared" si="5"/>
        <v>00</v>
      </c>
      <c r="AJ13" s="7" t="str">
        <f t="shared" si="6"/>
        <v>06</v>
      </c>
      <c r="AK13" s="6" t="str">
        <f t="shared" si="7"/>
        <v>14</v>
      </c>
      <c r="AL13" s="5" t="str">
        <f t="shared" si="8"/>
        <v>06</v>
      </c>
      <c r="AM13" t="str">
        <f t="shared" si="9"/>
        <v>0x00061406</v>
      </c>
    </row>
    <row r="14" spans="1:39" x14ac:dyDescent="0.3">
      <c r="B14" s="2" t="s">
        <v>43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27">
        <v>0</v>
      </c>
      <c r="K14" s="27">
        <v>0</v>
      </c>
      <c r="L14" s="27">
        <v>1</v>
      </c>
      <c r="M14" s="30">
        <v>0</v>
      </c>
      <c r="N14" s="30">
        <v>1</v>
      </c>
      <c r="O14" s="30">
        <v>0</v>
      </c>
      <c r="P14" s="31">
        <v>0</v>
      </c>
      <c r="Q14" s="31">
        <v>0</v>
      </c>
      <c r="R14" s="31">
        <v>1</v>
      </c>
      <c r="S14" s="30">
        <v>1</v>
      </c>
      <c r="T14" s="30">
        <v>0</v>
      </c>
      <c r="U14" s="30">
        <v>1</v>
      </c>
      <c r="V14" s="28">
        <v>0</v>
      </c>
      <c r="W14" s="28">
        <v>0</v>
      </c>
      <c r="X14" s="28">
        <v>0</v>
      </c>
      <c r="Y14" s="27">
        <v>0</v>
      </c>
      <c r="Z14" s="27">
        <v>0</v>
      </c>
      <c r="AA14" s="27">
        <v>1</v>
      </c>
      <c r="AB14" s="27">
        <v>0</v>
      </c>
      <c r="AC14" s="26">
        <v>0</v>
      </c>
      <c r="AD14" s="26">
        <v>0</v>
      </c>
      <c r="AE14" s="26">
        <v>0</v>
      </c>
      <c r="AF14" s="26">
        <v>1</v>
      </c>
      <c r="AG14" s="26">
        <v>0</v>
      </c>
      <c r="AH14" s="29">
        <v>1</v>
      </c>
      <c r="AI14" s="8" t="str">
        <f t="shared" si="5"/>
        <v>00</v>
      </c>
      <c r="AJ14" s="7" t="str">
        <f t="shared" si="6"/>
        <v>51</v>
      </c>
      <c r="AK14" s="6" t="str">
        <f t="shared" si="7"/>
        <v>A0</v>
      </c>
      <c r="AL14" s="5" t="str">
        <f t="shared" si="8"/>
        <v>85</v>
      </c>
      <c r="AM14" t="str">
        <f t="shared" si="9"/>
        <v>0x0051A085</v>
      </c>
    </row>
    <row r="15" spans="1:39" x14ac:dyDescent="0.3">
      <c r="B15" s="2" t="s">
        <v>46</v>
      </c>
      <c r="C15" s="12">
        <v>1</v>
      </c>
      <c r="D15" s="12">
        <v>1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2">
        <v>1</v>
      </c>
      <c r="L15" s="12">
        <v>1</v>
      </c>
      <c r="M15" s="12">
        <v>1</v>
      </c>
      <c r="N15" s="12">
        <v>1</v>
      </c>
      <c r="O15" s="12">
        <v>1</v>
      </c>
      <c r="P15" s="12">
        <v>1</v>
      </c>
      <c r="Q15" s="12">
        <v>1</v>
      </c>
      <c r="R15" s="12">
        <v>0</v>
      </c>
      <c r="S15" s="30">
        <v>0</v>
      </c>
      <c r="T15" s="30">
        <v>1</v>
      </c>
      <c r="U15" s="30">
        <v>1</v>
      </c>
      <c r="V15" s="28">
        <v>0</v>
      </c>
      <c r="W15" s="28">
        <v>0</v>
      </c>
      <c r="X15" s="28">
        <v>1</v>
      </c>
      <c r="Y15" s="27">
        <v>0</v>
      </c>
      <c r="Z15" s="27">
        <v>1</v>
      </c>
      <c r="AA15" s="27">
        <v>0</v>
      </c>
      <c r="AB15" s="27">
        <v>0</v>
      </c>
      <c r="AC15" s="26">
        <v>0</v>
      </c>
      <c r="AD15" s="26">
        <v>0</v>
      </c>
      <c r="AE15" s="26">
        <v>1</v>
      </c>
      <c r="AF15" s="26">
        <v>1</v>
      </c>
      <c r="AG15" s="26">
        <v>0</v>
      </c>
      <c r="AH15" s="29">
        <v>0</v>
      </c>
      <c r="AI15" s="8" t="str">
        <f t="shared" si="5"/>
        <v>FF</v>
      </c>
      <c r="AJ15" s="7" t="str">
        <f t="shared" si="6"/>
        <v>FE</v>
      </c>
      <c r="AK15" s="6" t="str">
        <f t="shared" si="7"/>
        <v>65</v>
      </c>
      <c r="AL15" s="5" t="str">
        <f t="shared" si="8"/>
        <v>0C</v>
      </c>
      <c r="AM15" t="str">
        <f t="shared" si="9"/>
        <v>0xFFFE650C</v>
      </c>
    </row>
    <row r="16" spans="1:39" x14ac:dyDescent="0.3">
      <c r="B16" s="2" t="s">
        <v>47</v>
      </c>
      <c r="C16" s="12">
        <v>1</v>
      </c>
      <c r="D16" s="12">
        <v>1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1</v>
      </c>
      <c r="R16" s="12">
        <v>1</v>
      </c>
      <c r="S16" s="30">
        <v>0</v>
      </c>
      <c r="T16" s="30">
        <v>1</v>
      </c>
      <c r="U16" s="30">
        <v>1</v>
      </c>
      <c r="V16" s="28">
        <v>0</v>
      </c>
      <c r="W16" s="28">
        <v>1</v>
      </c>
      <c r="X16" s="28">
        <v>0</v>
      </c>
      <c r="Y16" s="27">
        <v>0</v>
      </c>
      <c r="Z16" s="27">
        <v>0</v>
      </c>
      <c r="AA16" s="27">
        <v>1</v>
      </c>
      <c r="AB16" s="27">
        <v>1</v>
      </c>
      <c r="AC16" s="26">
        <v>0</v>
      </c>
      <c r="AD16" s="26">
        <v>0</v>
      </c>
      <c r="AE16" s="26">
        <v>1</v>
      </c>
      <c r="AF16" s="26">
        <v>1</v>
      </c>
      <c r="AG16" s="26">
        <v>1</v>
      </c>
      <c r="AH16" s="29">
        <v>0</v>
      </c>
      <c r="AI16" s="8" t="str">
        <f t="shared" si="5"/>
        <v>FF</v>
      </c>
      <c r="AJ16" s="7" t="str">
        <f t="shared" si="6"/>
        <v>FB</v>
      </c>
      <c r="AK16" s="6" t="str">
        <f t="shared" si="7"/>
        <v>68</v>
      </c>
      <c r="AL16" s="5" t="str">
        <f t="shared" si="8"/>
        <v>CE</v>
      </c>
      <c r="AM16" t="str">
        <f t="shared" si="9"/>
        <v>0xFFFB68CE</v>
      </c>
    </row>
    <row r="17" spans="2:39" x14ac:dyDescent="0.3">
      <c r="B17" s="2" t="s">
        <v>48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0">
        <v>1</v>
      </c>
      <c r="P17" s="30">
        <v>0</v>
      </c>
      <c r="Q17" s="30">
        <v>0</v>
      </c>
      <c r="R17" s="30">
        <v>0</v>
      </c>
      <c r="S17" s="30">
        <v>1</v>
      </c>
      <c r="T17" s="32">
        <v>0</v>
      </c>
      <c r="U17" s="32">
        <v>0</v>
      </c>
      <c r="V17" s="28">
        <v>0</v>
      </c>
      <c r="W17" s="28">
        <v>1</v>
      </c>
      <c r="X17" s="28">
        <v>0</v>
      </c>
      <c r="Y17" s="27">
        <v>0</v>
      </c>
      <c r="Z17" s="27">
        <v>0</v>
      </c>
      <c r="AA17" s="27">
        <v>0</v>
      </c>
      <c r="AB17" s="27">
        <v>0</v>
      </c>
      <c r="AC17" s="26">
        <v>1</v>
      </c>
      <c r="AD17" s="26">
        <v>0</v>
      </c>
      <c r="AE17" s="26">
        <v>0</v>
      </c>
      <c r="AF17" s="26">
        <v>0</v>
      </c>
      <c r="AG17" s="26">
        <v>0</v>
      </c>
      <c r="AH17" s="29">
        <v>0</v>
      </c>
      <c r="AI17" s="8" t="str">
        <f t="shared" si="5"/>
        <v>00</v>
      </c>
      <c r="AJ17" s="7" t="str">
        <f t="shared" si="6"/>
        <v>08</v>
      </c>
      <c r="AK17" s="6" t="str">
        <f t="shared" si="7"/>
        <v>88</v>
      </c>
      <c r="AL17" s="5" t="str">
        <f t="shared" si="8"/>
        <v>20</v>
      </c>
      <c r="AM17" t="str">
        <f t="shared" si="9"/>
        <v>0x00088820</v>
      </c>
    </row>
    <row r="18" spans="2:39" x14ac:dyDescent="0.3">
      <c r="B18" s="2" t="s">
        <v>49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0">
        <v>1</v>
      </c>
      <c r="Q18" s="30">
        <v>0</v>
      </c>
      <c r="R18" s="30">
        <v>1</v>
      </c>
      <c r="S18" s="32">
        <v>0</v>
      </c>
      <c r="T18" s="28">
        <v>0</v>
      </c>
      <c r="U18" s="28">
        <v>1</v>
      </c>
      <c r="V18" s="28">
        <v>1</v>
      </c>
      <c r="W18" s="28">
        <v>1</v>
      </c>
      <c r="X18" s="28">
        <v>0</v>
      </c>
      <c r="Y18" s="27">
        <v>0</v>
      </c>
      <c r="Z18" s="27">
        <v>0</v>
      </c>
      <c r="AA18" s="27">
        <v>0</v>
      </c>
      <c r="AB18" s="27">
        <v>1</v>
      </c>
      <c r="AC18" s="26">
        <v>1</v>
      </c>
      <c r="AD18" s="26">
        <v>0</v>
      </c>
      <c r="AE18" s="26">
        <v>0</v>
      </c>
      <c r="AF18" s="26">
        <v>0</v>
      </c>
      <c r="AG18" s="26">
        <v>0</v>
      </c>
      <c r="AH18" s="29">
        <v>0</v>
      </c>
      <c r="AI18" s="8" t="str">
        <f t="shared" si="5"/>
        <v>00</v>
      </c>
      <c r="AJ18" s="7" t="str">
        <f t="shared" si="6"/>
        <v>05</v>
      </c>
      <c r="AK18" s="6" t="str">
        <f t="shared" si="7"/>
        <v>38</v>
      </c>
      <c r="AL18" s="5" t="str">
        <f t="shared" si="8"/>
        <v>60</v>
      </c>
      <c r="AM18" t="str">
        <f t="shared" si="9"/>
        <v>0x00053860</v>
      </c>
    </row>
    <row r="19" spans="2:39" x14ac:dyDescent="0.3">
      <c r="B19" s="2"/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8" t="str">
        <f t="shared" ref="AI19:AI26" si="10">BIN2HEX(_xlfn.CONCAT(C19:J19),2)</f>
        <v>00</v>
      </c>
      <c r="AJ19" s="7" t="str">
        <f t="shared" ref="AJ19:AJ26" si="11">BIN2HEX(_xlfn.CONCAT(K19:R19),2)</f>
        <v>00</v>
      </c>
      <c r="AK19" s="6" t="str">
        <f t="shared" ref="AK19:AK26" si="12">BIN2HEX(_xlfn.CONCAT(S19:Z19),2)</f>
        <v>00</v>
      </c>
      <c r="AL19" s="5" t="str">
        <f t="shared" ref="AL19:AL26" si="13">BIN2HEX(_xlfn.CONCAT(AA19:AH19),2)</f>
        <v>00</v>
      </c>
      <c r="AM19" t="str">
        <f t="shared" ref="AM19:AM26" si="14">_xlfn.CONCAT("0x",AI19:AL19)</f>
        <v>0x00000000</v>
      </c>
    </row>
    <row r="20" spans="2:39" x14ac:dyDescent="0.3">
      <c r="B20" s="2" t="s">
        <v>50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1</v>
      </c>
      <c r="L20" s="12">
        <v>1</v>
      </c>
      <c r="M20" s="12">
        <v>1</v>
      </c>
      <c r="N20" s="12">
        <v>1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28">
        <v>0</v>
      </c>
      <c r="U20" s="28">
        <v>1</v>
      </c>
      <c r="V20" s="28">
        <v>1</v>
      </c>
      <c r="W20" s="28">
        <v>1</v>
      </c>
      <c r="X20" s="28">
        <v>0</v>
      </c>
      <c r="Y20" s="27">
        <v>0</v>
      </c>
      <c r="Z20" s="27">
        <v>0</v>
      </c>
      <c r="AA20" s="27">
        <v>1</v>
      </c>
      <c r="AB20" s="27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1</v>
      </c>
      <c r="AH20" s="29">
        <v>0</v>
      </c>
      <c r="AI20" s="8" t="str">
        <f t="shared" si="10"/>
        <v>00</v>
      </c>
      <c r="AJ20" s="7" t="str">
        <f t="shared" si="11"/>
        <v>F0</v>
      </c>
      <c r="AK20" s="6" t="str">
        <f t="shared" si="12"/>
        <v>38</v>
      </c>
      <c r="AL20" s="5" t="str">
        <f t="shared" si="13"/>
        <v>82</v>
      </c>
      <c r="AM20" t="str">
        <f t="shared" si="14"/>
        <v>0x00F03882</v>
      </c>
    </row>
    <row r="21" spans="2:39" x14ac:dyDescent="0.3">
      <c r="B21" s="2" t="s">
        <v>51</v>
      </c>
      <c r="C21" s="12">
        <v>1</v>
      </c>
      <c r="D21" s="12">
        <v>1</v>
      </c>
      <c r="E21" s="12">
        <v>1</v>
      </c>
      <c r="F21" s="12">
        <v>1</v>
      </c>
      <c r="G21" s="12">
        <v>1</v>
      </c>
      <c r="H21" s="12">
        <v>1</v>
      </c>
      <c r="I21" s="12">
        <v>1</v>
      </c>
      <c r="J21" s="12">
        <v>1</v>
      </c>
      <c r="K21" s="12">
        <v>0</v>
      </c>
      <c r="L21" s="12">
        <v>1</v>
      </c>
      <c r="M21" s="12">
        <v>1</v>
      </c>
      <c r="N21" s="12">
        <v>1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28">
        <v>1</v>
      </c>
      <c r="U21" s="28">
        <v>0</v>
      </c>
      <c r="V21" s="28">
        <v>0</v>
      </c>
      <c r="W21" s="28">
        <v>0</v>
      </c>
      <c r="X21" s="28">
        <v>0</v>
      </c>
      <c r="Y21" s="27">
        <v>0</v>
      </c>
      <c r="Z21" s="27">
        <v>0</v>
      </c>
      <c r="AA21" s="27">
        <v>1</v>
      </c>
      <c r="AB21" s="27">
        <v>0</v>
      </c>
      <c r="AC21" s="26">
        <v>0</v>
      </c>
      <c r="AD21" s="26">
        <v>0</v>
      </c>
      <c r="AE21" s="26">
        <v>0</v>
      </c>
      <c r="AF21" s="26">
        <v>0</v>
      </c>
      <c r="AG21" s="26">
        <v>1</v>
      </c>
      <c r="AH21" s="29">
        <v>0</v>
      </c>
      <c r="AI21" s="8" t="str">
        <f t="shared" si="10"/>
        <v>FF</v>
      </c>
      <c r="AJ21" s="7" t="str">
        <f t="shared" si="11"/>
        <v>70</v>
      </c>
      <c r="AK21" s="6" t="str">
        <f t="shared" si="12"/>
        <v>40</v>
      </c>
      <c r="AL21" s="5" t="str">
        <f t="shared" si="13"/>
        <v>82</v>
      </c>
      <c r="AM21" t="str">
        <f t="shared" si="14"/>
        <v>0xFF704082</v>
      </c>
    </row>
    <row r="22" spans="2:39" x14ac:dyDescent="0.3">
      <c r="B22" s="2" t="s">
        <v>52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31">
        <v>1</v>
      </c>
      <c r="K22" s="31">
        <v>0</v>
      </c>
      <c r="L22" s="31">
        <v>0</v>
      </c>
      <c r="M22" s="31">
        <v>0</v>
      </c>
      <c r="N22" s="31">
        <v>0</v>
      </c>
      <c r="O22" s="30">
        <v>0</v>
      </c>
      <c r="P22" s="30">
        <v>1</v>
      </c>
      <c r="Q22" s="30">
        <v>1</v>
      </c>
      <c r="R22" s="30">
        <v>1</v>
      </c>
      <c r="S22" s="30">
        <v>0</v>
      </c>
      <c r="T22" s="28">
        <v>0</v>
      </c>
      <c r="U22" s="28">
        <v>1</v>
      </c>
      <c r="V22" s="28">
        <v>1</v>
      </c>
      <c r="W22" s="28">
        <v>1</v>
      </c>
      <c r="X22" s="28">
        <v>1</v>
      </c>
      <c r="Y22" s="27">
        <v>0</v>
      </c>
      <c r="Z22" s="27">
        <v>0</v>
      </c>
      <c r="AA22" s="27">
        <v>1</v>
      </c>
      <c r="AB22" s="27">
        <v>1</v>
      </c>
      <c r="AC22" s="26">
        <v>0</v>
      </c>
      <c r="AD22" s="26">
        <v>0</v>
      </c>
      <c r="AE22" s="26">
        <v>0</v>
      </c>
      <c r="AF22" s="26">
        <v>0</v>
      </c>
      <c r="AG22" s="26">
        <v>0</v>
      </c>
      <c r="AH22" s="29">
        <v>0</v>
      </c>
      <c r="AI22" s="8" t="str">
        <f t="shared" si="10"/>
        <v>01</v>
      </c>
      <c r="AJ22" s="7" t="str">
        <f t="shared" si="11"/>
        <v>07</v>
      </c>
      <c r="AK22" s="6" t="str">
        <f t="shared" si="12"/>
        <v>3C</v>
      </c>
      <c r="AL22" s="5" t="str">
        <f t="shared" si="13"/>
        <v>C0</v>
      </c>
      <c r="AM22" t="str">
        <f t="shared" si="14"/>
        <v>0x01073CC0</v>
      </c>
    </row>
    <row r="23" spans="2:39" x14ac:dyDescent="0.3">
      <c r="B23" s="2" t="s">
        <v>53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0">
        <v>0</v>
      </c>
      <c r="P23" s="30">
        <v>1</v>
      </c>
      <c r="Q23" s="30">
        <v>1</v>
      </c>
      <c r="R23" s="30">
        <v>1</v>
      </c>
      <c r="S23" s="30">
        <v>1</v>
      </c>
      <c r="T23" s="28">
        <v>0</v>
      </c>
      <c r="U23" s="28">
        <v>0</v>
      </c>
      <c r="V23" s="28">
        <v>1</v>
      </c>
      <c r="W23" s="28">
        <v>0</v>
      </c>
      <c r="X23" s="28">
        <v>1</v>
      </c>
      <c r="Y23" s="27">
        <v>0</v>
      </c>
      <c r="Z23" s="27">
        <v>0</v>
      </c>
      <c r="AA23" s="27">
        <v>1</v>
      </c>
      <c r="AB23" s="27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0</v>
      </c>
      <c r="AH23" s="29">
        <v>0</v>
      </c>
      <c r="AI23" s="8" t="str">
        <f t="shared" si="10"/>
        <v>00</v>
      </c>
      <c r="AJ23" s="7" t="str">
        <f t="shared" si="11"/>
        <v>07</v>
      </c>
      <c r="AK23" s="6" t="str">
        <f t="shared" si="12"/>
        <v>94</v>
      </c>
      <c r="AL23" s="5" t="str">
        <f t="shared" si="13"/>
        <v>80</v>
      </c>
      <c r="AM23" t="str">
        <f t="shared" si="14"/>
        <v>0x00079480</v>
      </c>
    </row>
    <row r="24" spans="2:39" x14ac:dyDescent="0.3">
      <c r="B24" s="2" t="s">
        <v>54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28">
        <v>0</v>
      </c>
      <c r="U24" s="28">
        <v>0</v>
      </c>
      <c r="V24" s="28">
        <v>1</v>
      </c>
      <c r="W24" s="28">
        <v>1</v>
      </c>
      <c r="X24" s="28">
        <v>0</v>
      </c>
      <c r="Y24" s="27">
        <v>1</v>
      </c>
      <c r="Z24" s="27">
        <v>0</v>
      </c>
      <c r="AA24" s="27">
        <v>0</v>
      </c>
      <c r="AB24" s="27">
        <v>0</v>
      </c>
      <c r="AC24" s="26">
        <v>0</v>
      </c>
      <c r="AD24" s="26">
        <v>0</v>
      </c>
      <c r="AE24" s="26">
        <v>1</v>
      </c>
      <c r="AF24" s="26">
        <v>0</v>
      </c>
      <c r="AG24" s="26">
        <v>0</v>
      </c>
      <c r="AH24" s="29">
        <v>0</v>
      </c>
      <c r="AI24" s="8" t="str">
        <f t="shared" si="10"/>
        <v>00</v>
      </c>
      <c r="AJ24" s="7" t="str">
        <f t="shared" si="11"/>
        <v>00</v>
      </c>
      <c r="AK24" s="6" t="str">
        <f t="shared" si="12"/>
        <v>1A</v>
      </c>
      <c r="AL24" s="5" t="str">
        <f t="shared" si="13"/>
        <v>08</v>
      </c>
      <c r="AM24" t="str">
        <f t="shared" si="14"/>
        <v>0x00001A08</v>
      </c>
    </row>
    <row r="25" spans="2:39" x14ac:dyDescent="0.3">
      <c r="B25" s="2" t="s">
        <v>55</v>
      </c>
      <c r="C25" s="12">
        <v>1</v>
      </c>
      <c r="D25" s="12">
        <v>1</v>
      </c>
      <c r="E25" s="12">
        <v>1</v>
      </c>
      <c r="F25" s="12">
        <v>1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30">
        <v>0</v>
      </c>
      <c r="P25" s="30">
        <v>0</v>
      </c>
      <c r="Q25" s="30">
        <v>1</v>
      </c>
      <c r="R25" s="30">
        <v>1</v>
      </c>
      <c r="S25" s="30">
        <v>0</v>
      </c>
      <c r="T25" s="28">
        <v>0</v>
      </c>
      <c r="U25" s="28">
        <v>0</v>
      </c>
      <c r="V25" s="28">
        <v>1</v>
      </c>
      <c r="W25" s="28">
        <v>1</v>
      </c>
      <c r="X25" s="28">
        <v>1</v>
      </c>
      <c r="Y25" s="27">
        <v>0</v>
      </c>
      <c r="Z25" s="27">
        <v>1</v>
      </c>
      <c r="AA25" s="27">
        <v>0</v>
      </c>
      <c r="AB25" s="27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1</v>
      </c>
      <c r="AH25" s="29">
        <v>0</v>
      </c>
      <c r="AI25" s="8" t="str">
        <f t="shared" si="10"/>
        <v>FF</v>
      </c>
      <c r="AJ25" s="7" t="str">
        <f t="shared" si="11"/>
        <v>F3</v>
      </c>
      <c r="AK25" s="6" t="str">
        <f t="shared" si="12"/>
        <v>1D</v>
      </c>
      <c r="AL25" s="5" t="str">
        <f t="shared" si="13"/>
        <v>02</v>
      </c>
      <c r="AM25" t="str">
        <f t="shared" si="14"/>
        <v>0xFFF31D02</v>
      </c>
    </row>
    <row r="26" spans="2:39" x14ac:dyDescent="0.3">
      <c r="B26" s="2" t="s">
        <v>56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1</v>
      </c>
      <c r="N26" s="12">
        <v>1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28">
        <v>0</v>
      </c>
      <c r="U26" s="28">
        <v>0</v>
      </c>
      <c r="V26" s="28">
        <v>1</v>
      </c>
      <c r="W26" s="28">
        <v>1</v>
      </c>
      <c r="X26" s="28">
        <v>1</v>
      </c>
      <c r="Y26" s="27">
        <v>0</v>
      </c>
      <c r="Z26" s="27">
        <v>1</v>
      </c>
      <c r="AA26" s="27">
        <v>0</v>
      </c>
      <c r="AB26" s="27">
        <v>0</v>
      </c>
      <c r="AC26" s="26">
        <v>0</v>
      </c>
      <c r="AD26" s="26">
        <v>0</v>
      </c>
      <c r="AE26" s="26">
        <v>1</v>
      </c>
      <c r="AF26" s="26">
        <v>0</v>
      </c>
      <c r="AG26" s="26">
        <v>1</v>
      </c>
      <c r="AH26" s="29">
        <v>0</v>
      </c>
      <c r="AI26" s="8" t="str">
        <f t="shared" si="10"/>
        <v>00</v>
      </c>
      <c r="AJ26" s="7" t="str">
        <f t="shared" si="11"/>
        <v>30</v>
      </c>
      <c r="AK26" s="6" t="str">
        <f t="shared" si="12"/>
        <v>1D</v>
      </c>
      <c r="AL26" s="5" t="str">
        <f t="shared" si="13"/>
        <v>0A</v>
      </c>
      <c r="AM26" t="str">
        <f t="shared" si="14"/>
        <v>0x00301D0A</v>
      </c>
    </row>
    <row r="27" spans="2:39" x14ac:dyDescent="0.3"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8" t="str">
        <f t="shared" ref="AI27:AI42" si="15">BIN2HEX(_xlfn.CONCAT(C27:J27),2)</f>
        <v>00</v>
      </c>
      <c r="AJ27" s="7" t="str">
        <f t="shared" ref="AJ27:AJ42" si="16">BIN2HEX(_xlfn.CONCAT(K27:R27),2)</f>
        <v>00</v>
      </c>
      <c r="AK27" s="6" t="str">
        <f t="shared" ref="AK27:AK42" si="17">BIN2HEX(_xlfn.CONCAT(S27:Z27),2)</f>
        <v>00</v>
      </c>
      <c r="AL27" s="5" t="str">
        <f t="shared" ref="AL27:AL42" si="18">BIN2HEX(_xlfn.CONCAT(AA27:AH27),2)</f>
        <v>00</v>
      </c>
      <c r="AM27" t="str">
        <f t="shared" ref="AM27:AM42" si="19">_xlfn.CONCAT("0x",AI27:AL27)</f>
        <v>0x00000000</v>
      </c>
    </row>
    <row r="28" spans="2:39" x14ac:dyDescent="0.3">
      <c r="B28" s="2" t="s">
        <v>57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1</v>
      </c>
      <c r="M28" s="12">
        <v>0</v>
      </c>
      <c r="N28" s="12">
        <v>1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28">
        <v>0</v>
      </c>
      <c r="U28" s="28">
        <v>1</v>
      </c>
      <c r="V28" s="28">
        <v>1</v>
      </c>
      <c r="W28" s="28">
        <v>1</v>
      </c>
      <c r="X28" s="28">
        <v>0</v>
      </c>
      <c r="Y28" s="27">
        <v>0</v>
      </c>
      <c r="Z28" s="27">
        <v>0</v>
      </c>
      <c r="AA28" s="27">
        <v>1</v>
      </c>
      <c r="AB28" s="27">
        <v>0</v>
      </c>
      <c r="AC28" s="26">
        <v>0</v>
      </c>
      <c r="AD28" s="26">
        <v>0</v>
      </c>
      <c r="AE28" s="26">
        <v>0</v>
      </c>
      <c r="AF28" s="26">
        <v>0</v>
      </c>
      <c r="AG28" s="26">
        <v>1</v>
      </c>
      <c r="AH28" s="29">
        <v>0</v>
      </c>
      <c r="AI28" s="8" t="str">
        <f t="shared" si="15"/>
        <v>00</v>
      </c>
      <c r="AJ28" s="7" t="str">
        <f t="shared" si="16"/>
        <v>50</v>
      </c>
      <c r="AK28" s="6" t="str">
        <f t="shared" si="17"/>
        <v>38</v>
      </c>
      <c r="AL28" s="5" t="str">
        <f t="shared" si="18"/>
        <v>82</v>
      </c>
      <c r="AM28" t="str">
        <f t="shared" si="19"/>
        <v>0x00503882</v>
      </c>
    </row>
    <row r="29" spans="2:39" x14ac:dyDescent="0.3">
      <c r="B29" s="2" t="s">
        <v>62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28">
        <v>0</v>
      </c>
      <c r="U29" s="28">
        <v>1</v>
      </c>
      <c r="V29" s="28">
        <v>1</v>
      </c>
      <c r="W29" s="28">
        <v>1</v>
      </c>
      <c r="X29" s="28">
        <v>1</v>
      </c>
      <c r="Y29" s="27">
        <v>0</v>
      </c>
      <c r="Z29" s="27">
        <v>0</v>
      </c>
      <c r="AA29" s="27">
        <v>1</v>
      </c>
      <c r="AB29" s="27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9">
        <v>0</v>
      </c>
      <c r="AI29" s="8" t="str">
        <f t="shared" si="15"/>
        <v>00</v>
      </c>
      <c r="AJ29" s="7" t="str">
        <f t="shared" si="16"/>
        <v>00</v>
      </c>
      <c r="AK29" s="6" t="str">
        <f t="shared" si="17"/>
        <v>3C</v>
      </c>
      <c r="AL29" s="5" t="str">
        <f t="shared" si="18"/>
        <v>80</v>
      </c>
      <c r="AM29" t="str">
        <f t="shared" si="19"/>
        <v>0x00003C80</v>
      </c>
    </row>
    <row r="30" spans="2:39" x14ac:dyDescent="0.3">
      <c r="B30" s="2" t="s">
        <v>58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1</v>
      </c>
      <c r="N30" s="12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28">
        <v>1</v>
      </c>
      <c r="U30" s="28">
        <v>0</v>
      </c>
      <c r="V30" s="28">
        <v>0</v>
      </c>
      <c r="W30" s="28">
        <v>0</v>
      </c>
      <c r="X30" s="28">
        <v>0</v>
      </c>
      <c r="Y30" s="27">
        <v>0</v>
      </c>
      <c r="Z30" s="27">
        <v>0</v>
      </c>
      <c r="AA30" s="27">
        <v>1</v>
      </c>
      <c r="AB30" s="27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1</v>
      </c>
      <c r="AH30" s="29">
        <v>0</v>
      </c>
      <c r="AI30" s="8" t="str">
        <f t="shared" si="15"/>
        <v>00</v>
      </c>
      <c r="AJ30" s="7" t="str">
        <f t="shared" si="16"/>
        <v>20</v>
      </c>
      <c r="AK30" s="6" t="str">
        <f t="shared" si="17"/>
        <v>40</v>
      </c>
      <c r="AL30" s="5" t="str">
        <f t="shared" si="18"/>
        <v>82</v>
      </c>
      <c r="AM30" t="str">
        <f t="shared" si="19"/>
        <v>0x00204082</v>
      </c>
    </row>
    <row r="31" spans="2:39" x14ac:dyDescent="0.3">
      <c r="B31" s="2" t="s">
        <v>64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1</v>
      </c>
      <c r="O31" s="30">
        <v>0</v>
      </c>
      <c r="P31" s="30">
        <v>1</v>
      </c>
      <c r="Q31" s="30">
        <v>1</v>
      </c>
      <c r="R31" s="30">
        <v>1</v>
      </c>
      <c r="S31" s="30">
        <v>1</v>
      </c>
      <c r="T31" s="28">
        <v>1</v>
      </c>
      <c r="U31" s="28">
        <v>0</v>
      </c>
      <c r="V31" s="28">
        <v>0</v>
      </c>
      <c r="W31" s="28">
        <v>0</v>
      </c>
      <c r="X31" s="28">
        <v>1</v>
      </c>
      <c r="Y31" s="27">
        <v>0</v>
      </c>
      <c r="Z31" s="27">
        <v>0</v>
      </c>
      <c r="AA31" s="27">
        <v>1</v>
      </c>
      <c r="AB31" s="27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1</v>
      </c>
      <c r="AH31" s="29">
        <v>0</v>
      </c>
      <c r="AI31" s="8" t="str">
        <f t="shared" si="15"/>
        <v>00</v>
      </c>
      <c r="AJ31" s="7" t="str">
        <f t="shared" si="16"/>
        <v>17</v>
      </c>
      <c r="AK31" s="6" t="str">
        <f t="shared" si="17"/>
        <v>C4</v>
      </c>
      <c r="AL31" s="5" t="str">
        <f t="shared" si="18"/>
        <v>82</v>
      </c>
      <c r="AM31" t="str">
        <f t="shared" si="19"/>
        <v>0x0017C482</v>
      </c>
    </row>
    <row r="32" spans="2:39" x14ac:dyDescent="0.3">
      <c r="B32" s="2" t="s">
        <v>65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31">
        <v>1</v>
      </c>
      <c r="K32" s="31">
        <v>0</v>
      </c>
      <c r="L32" s="31">
        <v>0</v>
      </c>
      <c r="M32" s="31">
        <v>0</v>
      </c>
      <c r="N32" s="31">
        <v>0</v>
      </c>
      <c r="O32" s="30">
        <v>1</v>
      </c>
      <c r="P32" s="30">
        <v>0</v>
      </c>
      <c r="Q32" s="30">
        <v>0</v>
      </c>
      <c r="R32" s="30">
        <v>0</v>
      </c>
      <c r="S32" s="30">
        <v>1</v>
      </c>
      <c r="T32" s="28">
        <v>1</v>
      </c>
      <c r="U32" s="28">
        <v>0</v>
      </c>
      <c r="V32" s="28">
        <v>0</v>
      </c>
      <c r="W32" s="28">
        <v>0</v>
      </c>
      <c r="X32" s="28">
        <v>1</v>
      </c>
      <c r="Y32" s="27">
        <v>0</v>
      </c>
      <c r="Z32" s="27">
        <v>1</v>
      </c>
      <c r="AA32" s="27">
        <v>0</v>
      </c>
      <c r="AB32" s="27">
        <v>0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9">
        <v>0</v>
      </c>
      <c r="AI32" s="8" t="str">
        <f t="shared" si="15"/>
        <v>01</v>
      </c>
      <c r="AJ32" s="7" t="str">
        <f t="shared" si="16"/>
        <v>08</v>
      </c>
      <c r="AK32" s="6" t="str">
        <f t="shared" si="17"/>
        <v>C5</v>
      </c>
      <c r="AL32" s="5" t="str">
        <f t="shared" si="18"/>
        <v>00</v>
      </c>
      <c r="AM32" t="str">
        <f t="shared" si="19"/>
        <v>0x0108C500</v>
      </c>
    </row>
    <row r="33" spans="2:39" x14ac:dyDescent="0.3">
      <c r="B33" s="2" t="s">
        <v>59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1</v>
      </c>
      <c r="O33" s="30">
        <v>0</v>
      </c>
      <c r="P33" s="30">
        <v>1</v>
      </c>
      <c r="Q33" s="30">
        <v>1</v>
      </c>
      <c r="R33" s="30">
        <v>1</v>
      </c>
      <c r="S33" s="30">
        <v>1</v>
      </c>
      <c r="T33" s="28">
        <v>0</v>
      </c>
      <c r="U33" s="28">
        <v>1</v>
      </c>
      <c r="V33" s="28">
        <v>1</v>
      </c>
      <c r="W33" s="28">
        <v>1</v>
      </c>
      <c r="X33" s="28">
        <v>1</v>
      </c>
      <c r="Y33" s="27">
        <v>0</v>
      </c>
      <c r="Z33" s="27">
        <v>0</v>
      </c>
      <c r="AA33" s="27">
        <v>1</v>
      </c>
      <c r="AB33" s="27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1</v>
      </c>
      <c r="AH33" s="29">
        <v>0</v>
      </c>
      <c r="AI33" s="8" t="str">
        <f t="shared" si="15"/>
        <v>00</v>
      </c>
      <c r="AJ33" s="7" t="str">
        <f t="shared" si="16"/>
        <v>17</v>
      </c>
      <c r="AK33" s="6" t="str">
        <f t="shared" si="17"/>
        <v>BC</v>
      </c>
      <c r="AL33" s="5" t="str">
        <f t="shared" si="18"/>
        <v>82</v>
      </c>
      <c r="AM33" t="str">
        <f t="shared" si="19"/>
        <v>0x0017BC82</v>
      </c>
    </row>
    <row r="34" spans="2:39" x14ac:dyDescent="0.3">
      <c r="B34" s="2" t="s">
        <v>60</v>
      </c>
      <c r="C34" s="12">
        <v>1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31">
        <v>0</v>
      </c>
      <c r="K34" s="31">
        <v>1</v>
      </c>
      <c r="L34" s="31">
        <v>1</v>
      </c>
      <c r="M34" s="31">
        <v>1</v>
      </c>
      <c r="N34" s="31">
        <v>0</v>
      </c>
      <c r="O34" s="30">
        <v>0</v>
      </c>
      <c r="P34" s="30">
        <v>1</v>
      </c>
      <c r="Q34" s="30">
        <v>1</v>
      </c>
      <c r="R34" s="30">
        <v>1</v>
      </c>
      <c r="S34" s="30">
        <v>1</v>
      </c>
      <c r="T34" s="12">
        <v>1</v>
      </c>
      <c r="U34" s="12">
        <v>1</v>
      </c>
      <c r="V34" s="12">
        <v>1</v>
      </c>
      <c r="W34" s="12">
        <v>0</v>
      </c>
      <c r="X34" s="12">
        <v>1</v>
      </c>
      <c r="Y34" s="27">
        <v>0</v>
      </c>
      <c r="Z34" s="27">
        <v>0</v>
      </c>
      <c r="AA34" s="27">
        <v>1</v>
      </c>
      <c r="AB34" s="27">
        <v>0</v>
      </c>
      <c r="AC34" s="26">
        <v>0</v>
      </c>
      <c r="AD34" s="26">
        <v>1</v>
      </c>
      <c r="AE34" s="26">
        <v>0</v>
      </c>
      <c r="AF34" s="26">
        <v>0</v>
      </c>
      <c r="AG34" s="26">
        <v>0</v>
      </c>
      <c r="AH34" s="29">
        <v>0</v>
      </c>
      <c r="AI34" s="8" t="str">
        <f t="shared" si="15"/>
        <v>FE</v>
      </c>
      <c r="AJ34" s="7" t="str">
        <f t="shared" si="16"/>
        <v>E7</v>
      </c>
      <c r="AK34" s="6" t="str">
        <f t="shared" si="17"/>
        <v>F4</v>
      </c>
      <c r="AL34" s="5" t="str">
        <f t="shared" si="18"/>
        <v>90</v>
      </c>
      <c r="AM34" t="str">
        <f t="shared" si="19"/>
        <v>0xFEE7F490</v>
      </c>
    </row>
    <row r="35" spans="2:39" x14ac:dyDescent="0.3">
      <c r="B35" s="2" t="s">
        <v>66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1</v>
      </c>
      <c r="M35" s="12">
        <v>0</v>
      </c>
      <c r="N35" s="12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28">
        <v>1</v>
      </c>
      <c r="U35" s="28">
        <v>0</v>
      </c>
      <c r="V35" s="28">
        <v>0</v>
      </c>
      <c r="W35" s="28">
        <v>0</v>
      </c>
      <c r="X35" s="28">
        <v>1</v>
      </c>
      <c r="Y35" s="27">
        <v>1</v>
      </c>
      <c r="Z35" s="27">
        <v>0</v>
      </c>
      <c r="AA35" s="27">
        <v>0</v>
      </c>
      <c r="AB35" s="27">
        <v>0</v>
      </c>
      <c r="AC35" s="26">
        <v>0</v>
      </c>
      <c r="AD35" s="26">
        <v>0</v>
      </c>
      <c r="AE35" s="26">
        <v>1</v>
      </c>
      <c r="AF35" s="26">
        <v>0</v>
      </c>
      <c r="AG35" s="26">
        <v>1</v>
      </c>
      <c r="AH35" s="29">
        <v>0</v>
      </c>
      <c r="AI35" s="8" t="str">
        <f t="shared" si="15"/>
        <v>00</v>
      </c>
      <c r="AJ35" s="7" t="str">
        <f t="shared" si="16"/>
        <v>40</v>
      </c>
      <c r="AK35" s="6" t="str">
        <f t="shared" si="17"/>
        <v>46</v>
      </c>
      <c r="AL35" s="5" t="str">
        <f t="shared" si="18"/>
        <v>0A</v>
      </c>
      <c r="AM35" t="str">
        <f t="shared" si="19"/>
        <v>0x0040460A</v>
      </c>
    </row>
    <row r="36" spans="2:39" x14ac:dyDescent="0.3">
      <c r="B36" s="2" t="s">
        <v>61</v>
      </c>
      <c r="C36" s="12">
        <v>1</v>
      </c>
      <c r="D36" s="12">
        <v>1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28">
        <v>0</v>
      </c>
      <c r="U36" s="28">
        <v>1</v>
      </c>
      <c r="V36" s="28">
        <v>1</v>
      </c>
      <c r="W36" s="28">
        <v>1</v>
      </c>
      <c r="X36" s="28">
        <v>1</v>
      </c>
      <c r="Y36" s="27">
        <v>0</v>
      </c>
      <c r="Z36" s="27">
        <v>0</v>
      </c>
      <c r="AA36" s="27">
        <v>1</v>
      </c>
      <c r="AB36" s="27">
        <v>1</v>
      </c>
      <c r="AC36" s="26">
        <v>0</v>
      </c>
      <c r="AD36" s="26">
        <v>0</v>
      </c>
      <c r="AE36" s="26">
        <v>1</v>
      </c>
      <c r="AF36" s="26">
        <v>0</v>
      </c>
      <c r="AG36" s="26">
        <v>1</v>
      </c>
      <c r="AH36" s="29">
        <v>0</v>
      </c>
      <c r="AI36" s="8" t="str">
        <f t="shared" si="15"/>
        <v>FF</v>
      </c>
      <c r="AJ36" s="7" t="str">
        <f t="shared" si="16"/>
        <v>E0</v>
      </c>
      <c r="AK36" s="6" t="str">
        <f t="shared" si="17"/>
        <v>3C</v>
      </c>
      <c r="AL36" s="5" t="str">
        <f t="shared" si="18"/>
        <v>CA</v>
      </c>
      <c r="AM36" t="str">
        <f t="shared" si="19"/>
        <v>0xFFE03CCA</v>
      </c>
    </row>
    <row r="37" spans="2:39" x14ac:dyDescent="0.3"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8" t="str">
        <f t="shared" si="15"/>
        <v>00</v>
      </c>
      <c r="AJ37" s="7" t="str">
        <f t="shared" si="16"/>
        <v>00</v>
      </c>
      <c r="AK37" s="6" t="str">
        <f t="shared" si="17"/>
        <v>00</v>
      </c>
      <c r="AL37" s="5" t="str">
        <f t="shared" si="18"/>
        <v>00</v>
      </c>
      <c r="AM37" t="str">
        <f t="shared" si="19"/>
        <v>0x00000000</v>
      </c>
    </row>
    <row r="38" spans="2:39" x14ac:dyDescent="0.3">
      <c r="B38" s="2" t="s">
        <v>67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1</v>
      </c>
      <c r="L38" s="12">
        <v>1</v>
      </c>
      <c r="M38" s="12">
        <v>0</v>
      </c>
      <c r="N38" s="12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28">
        <v>0</v>
      </c>
      <c r="U38" s="28">
        <v>1</v>
      </c>
      <c r="V38" s="28">
        <v>1</v>
      </c>
      <c r="W38" s="28">
        <v>1</v>
      </c>
      <c r="X38" s="28">
        <v>0</v>
      </c>
      <c r="Y38" s="27">
        <v>0</v>
      </c>
      <c r="Z38" s="27">
        <v>0</v>
      </c>
      <c r="AA38" s="27">
        <v>1</v>
      </c>
      <c r="AB38" s="27">
        <v>0</v>
      </c>
      <c r="AC38" s="26">
        <v>0</v>
      </c>
      <c r="AD38" s="26">
        <v>0</v>
      </c>
      <c r="AE38" s="26">
        <v>1</v>
      </c>
      <c r="AF38" s="26">
        <v>0</v>
      </c>
      <c r="AG38" s="26">
        <v>0</v>
      </c>
      <c r="AH38" s="29">
        <v>0</v>
      </c>
      <c r="AI38" s="8" t="str">
        <f t="shared" si="15"/>
        <v>00</v>
      </c>
      <c r="AJ38" s="7" t="str">
        <f t="shared" si="16"/>
        <v>C0</v>
      </c>
      <c r="AK38" s="6" t="str">
        <f t="shared" si="17"/>
        <v>38</v>
      </c>
      <c r="AL38" s="5" t="str">
        <f t="shared" si="18"/>
        <v>88</v>
      </c>
      <c r="AM38" t="str">
        <f t="shared" si="19"/>
        <v>0x00C03888</v>
      </c>
    </row>
    <row r="39" spans="2:39" x14ac:dyDescent="0.3">
      <c r="B39" s="2" t="s">
        <v>68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1</v>
      </c>
      <c r="M39" s="12">
        <v>0</v>
      </c>
      <c r="N39" s="12">
        <v>1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28">
        <v>0</v>
      </c>
      <c r="U39" s="28">
        <v>1</v>
      </c>
      <c r="V39" s="28">
        <v>1</v>
      </c>
      <c r="W39" s="28">
        <v>1</v>
      </c>
      <c r="X39" s="28">
        <v>1</v>
      </c>
      <c r="Y39" s="27">
        <v>0</v>
      </c>
      <c r="Z39" s="27">
        <v>0</v>
      </c>
      <c r="AA39" s="27">
        <v>1</v>
      </c>
      <c r="AB39" s="27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1</v>
      </c>
      <c r="AH39" s="29">
        <v>0</v>
      </c>
      <c r="AI39" s="8" t="str">
        <f t="shared" si="15"/>
        <v>00</v>
      </c>
      <c r="AJ39" s="7" t="str">
        <f t="shared" si="16"/>
        <v>50</v>
      </c>
      <c r="AK39" s="6" t="str">
        <f t="shared" si="17"/>
        <v>3C</v>
      </c>
      <c r="AL39" s="5" t="str">
        <f t="shared" si="18"/>
        <v>82</v>
      </c>
      <c r="AM39" t="str">
        <f t="shared" si="19"/>
        <v>0x00503C82</v>
      </c>
    </row>
    <row r="40" spans="2:39" x14ac:dyDescent="0.3">
      <c r="B40" s="2" t="s">
        <v>69</v>
      </c>
      <c r="C40" s="12">
        <v>1</v>
      </c>
      <c r="D40" s="12">
        <v>1</v>
      </c>
      <c r="E40" s="12">
        <v>1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28">
        <v>1</v>
      </c>
      <c r="U40" s="28">
        <v>0</v>
      </c>
      <c r="V40" s="28">
        <v>0</v>
      </c>
      <c r="W40" s="28">
        <v>0</v>
      </c>
      <c r="X40" s="28">
        <v>0</v>
      </c>
      <c r="Y40" s="27">
        <v>0</v>
      </c>
      <c r="Z40" s="27">
        <v>0</v>
      </c>
      <c r="AA40" s="27">
        <v>1</v>
      </c>
      <c r="AB40" s="27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1</v>
      </c>
      <c r="AH40" s="29">
        <v>0</v>
      </c>
      <c r="AI40" s="8" t="str">
        <f t="shared" si="15"/>
        <v>FF</v>
      </c>
      <c r="AJ40" s="7" t="str">
        <f t="shared" si="16"/>
        <v>E0</v>
      </c>
      <c r="AK40" s="6" t="str">
        <f t="shared" si="17"/>
        <v>40</v>
      </c>
      <c r="AL40" s="5" t="str">
        <f t="shared" si="18"/>
        <v>82</v>
      </c>
      <c r="AM40" t="str">
        <f t="shared" si="19"/>
        <v>0xFFE04082</v>
      </c>
    </row>
    <row r="41" spans="2:39" x14ac:dyDescent="0.3">
      <c r="B41" s="2" t="s">
        <v>70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1</v>
      </c>
      <c r="W41" s="32">
        <v>0</v>
      </c>
      <c r="X41" s="32">
        <v>0</v>
      </c>
      <c r="Y41" s="27">
        <v>0</v>
      </c>
      <c r="Z41" s="27">
        <v>0</v>
      </c>
      <c r="AA41" s="27">
        <v>0</v>
      </c>
      <c r="AB41" s="27">
        <v>0</v>
      </c>
      <c r="AC41" s="26">
        <v>1</v>
      </c>
      <c r="AD41" s="26">
        <v>0</v>
      </c>
      <c r="AE41" s="26">
        <v>0</v>
      </c>
      <c r="AF41" s="26">
        <v>0</v>
      </c>
      <c r="AG41" s="26">
        <v>1</v>
      </c>
      <c r="AH41" s="29">
        <v>0</v>
      </c>
      <c r="AI41" s="8" t="str">
        <f t="shared" si="15"/>
        <v>00</v>
      </c>
      <c r="AJ41" s="7" t="str">
        <f t="shared" si="16"/>
        <v>00</v>
      </c>
      <c r="AK41" s="6" t="str">
        <f t="shared" si="17"/>
        <v>10</v>
      </c>
      <c r="AL41" s="5" t="str">
        <f t="shared" si="18"/>
        <v>22</v>
      </c>
      <c r="AM41" t="str">
        <f t="shared" si="19"/>
        <v>0x00001022</v>
      </c>
    </row>
    <row r="42" spans="2:39" x14ac:dyDescent="0.3">
      <c r="B42" s="2" t="s">
        <v>71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0">
        <v>0</v>
      </c>
      <c r="P42" s="30">
        <v>0</v>
      </c>
      <c r="Q42" s="30">
        <v>1</v>
      </c>
      <c r="R42" s="30">
        <v>0</v>
      </c>
      <c r="S42" s="30">
        <v>0</v>
      </c>
      <c r="T42" s="28">
        <v>1</v>
      </c>
      <c r="U42" s="28">
        <v>0</v>
      </c>
      <c r="V42" s="28">
        <v>0</v>
      </c>
      <c r="W42" s="28">
        <v>0</v>
      </c>
      <c r="X42" s="28">
        <v>1</v>
      </c>
      <c r="Y42" s="27">
        <v>0</v>
      </c>
      <c r="Z42" s="27">
        <v>0</v>
      </c>
      <c r="AA42" s="27">
        <v>1</v>
      </c>
      <c r="AB42" s="27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9">
        <v>0</v>
      </c>
      <c r="AI42" s="8" t="str">
        <f t="shared" si="15"/>
        <v>00</v>
      </c>
      <c r="AJ42" s="7" t="str">
        <f t="shared" si="16"/>
        <v>02</v>
      </c>
      <c r="AK42" s="6" t="str">
        <f t="shared" si="17"/>
        <v>44</v>
      </c>
      <c r="AL42" s="5" t="str">
        <f t="shared" si="18"/>
        <v>80</v>
      </c>
      <c r="AM42" t="str">
        <f t="shared" si="19"/>
        <v>0x00024480</v>
      </c>
    </row>
    <row r="43" spans="2:39" x14ac:dyDescent="0.3">
      <c r="B43" s="2" t="s">
        <v>72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31">
        <v>0</v>
      </c>
      <c r="K43" s="31">
        <v>1</v>
      </c>
      <c r="L43" s="31">
        <v>1</v>
      </c>
      <c r="M43" s="31">
        <v>1</v>
      </c>
      <c r="N43" s="31">
        <v>1</v>
      </c>
      <c r="O43" s="30">
        <v>0</v>
      </c>
      <c r="P43" s="30">
        <v>1</v>
      </c>
      <c r="Q43" s="30">
        <v>1</v>
      </c>
      <c r="R43" s="30">
        <v>1</v>
      </c>
      <c r="S43" s="30">
        <v>0</v>
      </c>
      <c r="T43" s="28">
        <v>1</v>
      </c>
      <c r="U43" s="28">
        <v>0</v>
      </c>
      <c r="V43" s="28">
        <v>0</v>
      </c>
      <c r="W43" s="28">
        <v>0</v>
      </c>
      <c r="X43" s="28">
        <v>0</v>
      </c>
      <c r="Y43" s="27">
        <v>0</v>
      </c>
      <c r="Z43" s="27">
        <v>0</v>
      </c>
      <c r="AA43" s="27">
        <v>1</v>
      </c>
      <c r="AB43" s="27">
        <v>0</v>
      </c>
      <c r="AC43" s="26">
        <v>0</v>
      </c>
      <c r="AD43" s="26">
        <v>0</v>
      </c>
      <c r="AE43" s="26">
        <v>0</v>
      </c>
      <c r="AF43" s="26">
        <v>0</v>
      </c>
      <c r="AG43" s="26">
        <v>0</v>
      </c>
      <c r="AH43" s="29">
        <v>1</v>
      </c>
      <c r="AI43" s="8" t="str">
        <f t="shared" ref="AI43:AI49" si="20">BIN2HEX(_xlfn.CONCAT(C43:J43),2)</f>
        <v>00</v>
      </c>
      <c r="AJ43" s="7" t="str">
        <f t="shared" ref="AJ43:AJ49" si="21">BIN2HEX(_xlfn.CONCAT(K43:R43),2)</f>
        <v>F7</v>
      </c>
      <c r="AK43" s="6" t="str">
        <f t="shared" ref="AK43:AK49" si="22">BIN2HEX(_xlfn.CONCAT(S43:Z43),2)</f>
        <v>40</v>
      </c>
      <c r="AL43" s="5" t="str">
        <f t="shared" ref="AL43:AL49" si="23">BIN2HEX(_xlfn.CONCAT(AA43:AH43),2)</f>
        <v>81</v>
      </c>
      <c r="AM43" t="str">
        <f t="shared" ref="AM43:AM49" si="24">_xlfn.CONCAT("0x",AI43:AL43)</f>
        <v>0x00F74081</v>
      </c>
    </row>
    <row r="44" spans="2:39" x14ac:dyDescent="0.3">
      <c r="B44" s="2" t="s">
        <v>40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32">
        <v>0</v>
      </c>
      <c r="X44" s="32">
        <v>0</v>
      </c>
      <c r="Y44" s="27">
        <v>0</v>
      </c>
      <c r="Z44" s="27">
        <v>0</v>
      </c>
      <c r="AA44" s="27">
        <v>0</v>
      </c>
      <c r="AB44" s="27">
        <v>1</v>
      </c>
      <c r="AC44" s="26">
        <v>1</v>
      </c>
      <c r="AD44" s="26">
        <v>0</v>
      </c>
      <c r="AE44" s="26">
        <v>0</v>
      </c>
      <c r="AF44" s="26">
        <v>0</v>
      </c>
      <c r="AG44" s="26">
        <v>1</v>
      </c>
      <c r="AH44" s="29">
        <v>0</v>
      </c>
      <c r="AI44" s="8" t="str">
        <f t="shared" si="20"/>
        <v>00</v>
      </c>
      <c r="AJ44" s="7" t="str">
        <f t="shared" si="21"/>
        <v>00</v>
      </c>
      <c r="AK44" s="6" t="str">
        <f t="shared" si="22"/>
        <v>00</v>
      </c>
      <c r="AL44" s="5" t="str">
        <f t="shared" si="23"/>
        <v>62</v>
      </c>
      <c r="AM44" t="str">
        <f t="shared" si="24"/>
        <v>0x00000062</v>
      </c>
    </row>
    <row r="45" spans="2:39" x14ac:dyDescent="0.3">
      <c r="B45" s="2" t="s">
        <v>73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1</v>
      </c>
      <c r="M45" s="12">
        <v>0</v>
      </c>
      <c r="N45" s="12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28">
        <v>1</v>
      </c>
      <c r="U45" s="28">
        <v>0</v>
      </c>
      <c r="V45" s="28">
        <v>0</v>
      </c>
      <c r="W45" s="28">
        <v>0</v>
      </c>
      <c r="X45" s="28">
        <v>0</v>
      </c>
      <c r="Y45" s="27">
        <v>1</v>
      </c>
      <c r="Z45" s="27">
        <v>0</v>
      </c>
      <c r="AA45" s="27">
        <v>0</v>
      </c>
      <c r="AB45" s="27">
        <v>0</v>
      </c>
      <c r="AC45" s="26">
        <v>0</v>
      </c>
      <c r="AD45" s="26">
        <v>0</v>
      </c>
      <c r="AE45" s="26">
        <v>1</v>
      </c>
      <c r="AF45" s="26">
        <v>0</v>
      </c>
      <c r="AG45" s="26">
        <v>1</v>
      </c>
      <c r="AH45" s="29">
        <v>0</v>
      </c>
      <c r="AI45" s="8" t="str">
        <f t="shared" si="20"/>
        <v>00</v>
      </c>
      <c r="AJ45" s="7" t="str">
        <f t="shared" si="21"/>
        <v>40</v>
      </c>
      <c r="AK45" s="6" t="str">
        <f t="shared" si="22"/>
        <v>42</v>
      </c>
      <c r="AL45" s="5" t="str">
        <f t="shared" si="23"/>
        <v>0A</v>
      </c>
      <c r="AM45" t="str">
        <f t="shared" si="24"/>
        <v>0x0040420A</v>
      </c>
    </row>
    <row r="46" spans="2:39" x14ac:dyDescent="0.3"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8" t="str">
        <f t="shared" si="20"/>
        <v>00</v>
      </c>
      <c r="AJ46" s="7" t="str">
        <f t="shared" si="21"/>
        <v>00</v>
      </c>
      <c r="AK46" s="6" t="str">
        <f t="shared" si="22"/>
        <v>00</v>
      </c>
      <c r="AL46" s="5" t="str">
        <f t="shared" si="23"/>
        <v>00</v>
      </c>
      <c r="AM46" t="str">
        <f t="shared" si="24"/>
        <v>0x00000000</v>
      </c>
    </row>
    <row r="47" spans="2:39" x14ac:dyDescent="0.3"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8" t="str">
        <f t="shared" si="20"/>
        <v>00</v>
      </c>
      <c r="AJ47" s="7" t="str">
        <f t="shared" si="21"/>
        <v>00</v>
      </c>
      <c r="AK47" s="6" t="str">
        <f t="shared" si="22"/>
        <v>00</v>
      </c>
      <c r="AL47" s="5" t="str">
        <f t="shared" si="23"/>
        <v>00</v>
      </c>
      <c r="AM47" t="str">
        <f t="shared" si="24"/>
        <v>0x00000000</v>
      </c>
    </row>
    <row r="48" spans="2:39" x14ac:dyDescent="0.3"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8" t="str">
        <f t="shared" si="20"/>
        <v>00</v>
      </c>
      <c r="AJ48" s="7" t="str">
        <f t="shared" si="21"/>
        <v>00</v>
      </c>
      <c r="AK48" s="6" t="str">
        <f t="shared" si="22"/>
        <v>00</v>
      </c>
      <c r="AL48" s="5" t="str">
        <f t="shared" si="23"/>
        <v>00</v>
      </c>
      <c r="AM48" t="str">
        <f t="shared" si="24"/>
        <v>0x00000000</v>
      </c>
    </row>
    <row r="49" spans="3:39" x14ac:dyDescent="0.3"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8" t="str">
        <f t="shared" si="20"/>
        <v>00</v>
      </c>
      <c r="AJ49" s="7" t="str">
        <f t="shared" si="21"/>
        <v>00</v>
      </c>
      <c r="AK49" s="6" t="str">
        <f t="shared" si="22"/>
        <v>00</v>
      </c>
      <c r="AL49" s="5" t="str">
        <f t="shared" si="23"/>
        <v>00</v>
      </c>
      <c r="AM49" t="str">
        <f t="shared" si="24"/>
        <v>0x00000000</v>
      </c>
    </row>
  </sheetData>
  <mergeCells count="1">
    <mergeCell ref="AI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Encode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GEOVANNY OBANDO SOLANO</dc:creator>
  <cp:lastModifiedBy>FREDERICK GEOVANNY OBANDO SOLANO</cp:lastModifiedBy>
  <dcterms:created xsi:type="dcterms:W3CDTF">2026-04-24T18:48:58Z</dcterms:created>
  <dcterms:modified xsi:type="dcterms:W3CDTF">2026-04-30T18:23:01Z</dcterms:modified>
</cp:coreProperties>
</file>