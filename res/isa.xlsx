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B:\workbench\repos\CE4301--p2_fobando_isa--\res\"/>
    </mc:Choice>
  </mc:AlternateContent>
  <xr:revisionPtr revIDLastSave="0" documentId="13_ncr:1_{1DACEB4D-82D0-4DC9-8607-393D9ECB9FD5}" xr6:coauthVersionLast="47" xr6:coauthVersionMax="47" xr10:uidLastSave="{00000000-0000-0000-0000-000000000000}"/>
  <bookViews>
    <workbookView xWindow="-108" yWindow="-108" windowWidth="23256" windowHeight="12456" activeTab="1" xr2:uid="{EC7525CD-E51C-4E61-B306-9CBCE090E85A}"/>
  </bookViews>
  <sheets>
    <sheet name="Encode" sheetId="1" r:id="rId1"/>
    <sheet name="Te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I6" i="2" l="1"/>
  <c r="AM6" i="2" s="1"/>
  <c r="AL6" i="2"/>
  <c r="AL7" i="2"/>
  <c r="AL8" i="2"/>
  <c r="AK6" i="2"/>
  <c r="AK7" i="2"/>
  <c r="AK8" i="2"/>
  <c r="AJ6" i="2"/>
  <c r="AJ7" i="2"/>
  <c r="AJ8" i="2"/>
  <c r="AI7" i="2"/>
  <c r="AM7" i="2" s="1"/>
  <c r="AI8" i="2"/>
  <c r="AI4" i="2"/>
  <c r="AJ4" i="2"/>
  <c r="AK4" i="2"/>
  <c r="AL4" i="2"/>
  <c r="AI5" i="2"/>
  <c r="AJ5" i="2"/>
  <c r="AK5" i="2"/>
  <c r="AL5" i="2"/>
  <c r="AL3" i="2"/>
  <c r="AK3" i="2"/>
  <c r="AJ3" i="2"/>
  <c r="AI3" i="2"/>
  <c r="AM5" i="2" l="1"/>
  <c r="AM4" i="2"/>
  <c r="AM8" i="2"/>
  <c r="AM3" i="2"/>
</calcChain>
</file>

<file path=xl/sharedStrings.xml><?xml version="1.0" encoding="utf-8"?>
<sst xmlns="http://schemas.openxmlformats.org/spreadsheetml/2006/main" count="86" uniqueCount="36">
  <si>
    <t>R</t>
  </si>
  <si>
    <t>I</t>
  </si>
  <si>
    <t>M</t>
  </si>
  <si>
    <t>B</t>
  </si>
  <si>
    <t>J/F</t>
  </si>
  <si>
    <t>S</t>
  </si>
  <si>
    <t>PR</t>
  </si>
  <si>
    <t>V</t>
  </si>
  <si>
    <t>PI</t>
  </si>
  <si>
    <t>T</t>
  </si>
  <si>
    <t>func7</t>
  </si>
  <si>
    <t>rm</t>
  </si>
  <si>
    <t>rn</t>
  </si>
  <si>
    <t>rd</t>
  </si>
  <si>
    <t>func4</t>
  </si>
  <si>
    <t>opcode</t>
  </si>
  <si>
    <t>P</t>
  </si>
  <si>
    <t>imm12</t>
  </si>
  <si>
    <t>H</t>
  </si>
  <si>
    <t>W</t>
  </si>
  <si>
    <t>cond</t>
  </si>
  <si>
    <t>imm12[4:0]</t>
  </si>
  <si>
    <t>imm12[11:5]</t>
  </si>
  <si>
    <t>imm21[3:0]</t>
  </si>
  <si>
    <t>imm21[20:4]</t>
  </si>
  <si>
    <t>imm20</t>
  </si>
  <si>
    <t>sd</t>
  </si>
  <si>
    <t>sn</t>
  </si>
  <si>
    <t>imm16</t>
  </si>
  <si>
    <t>sm</t>
  </si>
  <si>
    <t>func3</t>
  </si>
  <si>
    <t>sf</t>
  </si>
  <si>
    <t>HEX</t>
  </si>
  <si>
    <t>INSTR</t>
  </si>
  <si>
    <t>nop</t>
  </si>
  <si>
    <t>ej.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</si>
</sst>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5757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FC0BC-28E0-4D62-8DDD-273D10319523}">
  <dimension ref="A2:AG12"/>
  <sheetViews>
    <sheetView showGridLines="0" workbookViewId="0">
      <selection activeCell="AD15" sqref="AD15"/>
    </sheetView>
  </sheetViews>
  <sheetFormatPr defaultRowHeight="14.4" x14ac:dyDescent="0.3"/>
  <cols>
    <col min="2" max="33" width="3.109375" customWidth="1"/>
  </cols>
  <sheetData>
    <row r="2" spans="1:33" x14ac:dyDescent="0.3">
      <c r="B2" s="1">
        <v>31</v>
      </c>
      <c r="C2" s="1">
        <v>30</v>
      </c>
      <c r="D2" s="1">
        <v>29</v>
      </c>
      <c r="E2" s="1">
        <v>28</v>
      </c>
      <c r="F2" s="1">
        <v>27</v>
      </c>
      <c r="G2" s="1">
        <v>26</v>
      </c>
      <c r="H2" s="1">
        <v>25</v>
      </c>
      <c r="I2" s="1">
        <v>24</v>
      </c>
      <c r="J2" s="1">
        <v>23</v>
      </c>
      <c r="K2" s="1">
        <v>22</v>
      </c>
      <c r="L2" s="1">
        <v>21</v>
      </c>
      <c r="M2" s="1">
        <v>20</v>
      </c>
      <c r="N2" s="1">
        <v>19</v>
      </c>
      <c r="O2" s="1">
        <v>18</v>
      </c>
      <c r="P2" s="1">
        <v>17</v>
      </c>
      <c r="Q2" s="1">
        <v>16</v>
      </c>
      <c r="R2" s="1">
        <v>15</v>
      </c>
      <c r="S2" s="1">
        <v>14</v>
      </c>
      <c r="T2" s="1">
        <v>13</v>
      </c>
      <c r="U2" s="1">
        <v>12</v>
      </c>
      <c r="V2" s="1">
        <v>11</v>
      </c>
      <c r="W2" s="1">
        <v>10</v>
      </c>
      <c r="X2" s="1">
        <v>9</v>
      </c>
      <c r="Y2" s="1">
        <v>8</v>
      </c>
      <c r="Z2" s="1">
        <v>7</v>
      </c>
      <c r="AA2" s="1">
        <v>6</v>
      </c>
      <c r="AB2" s="1">
        <v>5</v>
      </c>
      <c r="AC2" s="1">
        <v>4</v>
      </c>
      <c r="AD2" s="1">
        <v>3</v>
      </c>
      <c r="AE2" s="1">
        <v>2</v>
      </c>
      <c r="AF2" s="1">
        <v>1</v>
      </c>
      <c r="AG2" s="1">
        <v>0</v>
      </c>
    </row>
    <row r="3" spans="1:33" x14ac:dyDescent="0.3">
      <c r="A3" s="2" t="s">
        <v>0</v>
      </c>
      <c r="B3" s="10" t="s">
        <v>10</v>
      </c>
      <c r="C3" s="11"/>
      <c r="D3" s="11"/>
      <c r="E3" s="11"/>
      <c r="F3" s="11"/>
      <c r="G3" s="11"/>
      <c r="H3" s="12"/>
      <c r="I3" s="10" t="s">
        <v>11</v>
      </c>
      <c r="J3" s="11"/>
      <c r="K3" s="11"/>
      <c r="L3" s="11"/>
      <c r="M3" s="12"/>
      <c r="N3" s="10" t="s">
        <v>12</v>
      </c>
      <c r="O3" s="11"/>
      <c r="P3" s="11"/>
      <c r="Q3" s="11"/>
      <c r="R3" s="12"/>
      <c r="S3" s="10" t="s">
        <v>13</v>
      </c>
      <c r="T3" s="11"/>
      <c r="U3" s="11"/>
      <c r="V3" s="11"/>
      <c r="W3" s="12"/>
      <c r="X3" s="10" t="s">
        <v>14</v>
      </c>
      <c r="Y3" s="11"/>
      <c r="Z3" s="11"/>
      <c r="AA3" s="12"/>
      <c r="AB3" s="10" t="s">
        <v>15</v>
      </c>
      <c r="AC3" s="11"/>
      <c r="AD3" s="11"/>
      <c r="AE3" s="11"/>
      <c r="AF3" s="12"/>
      <c r="AG3" s="3" t="s">
        <v>16</v>
      </c>
    </row>
    <row r="4" spans="1:33" x14ac:dyDescent="0.3">
      <c r="A4" s="2" t="s">
        <v>1</v>
      </c>
      <c r="B4" s="10" t="s">
        <v>17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2"/>
      <c r="N4" s="10" t="s">
        <v>12</v>
      </c>
      <c r="O4" s="11"/>
      <c r="P4" s="11"/>
      <c r="Q4" s="11"/>
      <c r="R4" s="12"/>
      <c r="S4" s="10" t="s">
        <v>13</v>
      </c>
      <c r="T4" s="11"/>
      <c r="U4" s="11"/>
      <c r="V4" s="11"/>
      <c r="W4" s="12"/>
      <c r="X4" s="10" t="s">
        <v>14</v>
      </c>
      <c r="Y4" s="11"/>
      <c r="Z4" s="11"/>
      <c r="AA4" s="12"/>
      <c r="AB4" s="10" t="s">
        <v>15</v>
      </c>
      <c r="AC4" s="11"/>
      <c r="AD4" s="11"/>
      <c r="AE4" s="11"/>
      <c r="AF4" s="12"/>
      <c r="AG4" s="3" t="s">
        <v>16</v>
      </c>
    </row>
    <row r="5" spans="1:33" x14ac:dyDescent="0.3">
      <c r="A5" s="2" t="s">
        <v>2</v>
      </c>
      <c r="B5" s="10" t="s">
        <v>17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2"/>
      <c r="N5" s="10" t="s">
        <v>12</v>
      </c>
      <c r="O5" s="11"/>
      <c r="P5" s="11"/>
      <c r="Q5" s="11"/>
      <c r="R5" s="12"/>
      <c r="S5" s="10" t="s">
        <v>13</v>
      </c>
      <c r="T5" s="11"/>
      <c r="U5" s="11"/>
      <c r="V5" s="11"/>
      <c r="W5" s="12"/>
      <c r="X5" s="3" t="s">
        <v>19</v>
      </c>
      <c r="Y5" s="3" t="s">
        <v>18</v>
      </c>
      <c r="Z5" s="3" t="s">
        <v>3</v>
      </c>
      <c r="AA5" s="3" t="s">
        <v>5</v>
      </c>
      <c r="AB5" s="10" t="s">
        <v>15</v>
      </c>
      <c r="AC5" s="11"/>
      <c r="AD5" s="11"/>
      <c r="AE5" s="11"/>
      <c r="AF5" s="12"/>
      <c r="AG5" s="3" t="s">
        <v>16</v>
      </c>
    </row>
    <row r="6" spans="1:33" x14ac:dyDescent="0.3">
      <c r="A6" s="2" t="s">
        <v>3</v>
      </c>
      <c r="B6" s="10" t="s">
        <v>22</v>
      </c>
      <c r="C6" s="11"/>
      <c r="D6" s="11"/>
      <c r="E6" s="11"/>
      <c r="F6" s="11"/>
      <c r="G6" s="11"/>
      <c r="H6" s="12"/>
      <c r="I6" s="10" t="s">
        <v>11</v>
      </c>
      <c r="J6" s="11"/>
      <c r="K6" s="11"/>
      <c r="L6" s="11"/>
      <c r="M6" s="12"/>
      <c r="N6" s="10" t="s">
        <v>12</v>
      </c>
      <c r="O6" s="11"/>
      <c r="P6" s="11"/>
      <c r="Q6" s="11"/>
      <c r="R6" s="12"/>
      <c r="S6" s="10" t="s">
        <v>21</v>
      </c>
      <c r="T6" s="11"/>
      <c r="U6" s="11"/>
      <c r="V6" s="11"/>
      <c r="W6" s="12"/>
      <c r="X6" s="10" t="s">
        <v>20</v>
      </c>
      <c r="Y6" s="11"/>
      <c r="Z6" s="11"/>
      <c r="AA6" s="12"/>
      <c r="AB6" s="10" t="s">
        <v>15</v>
      </c>
      <c r="AC6" s="11"/>
      <c r="AD6" s="11"/>
      <c r="AE6" s="11"/>
      <c r="AF6" s="12"/>
      <c r="AG6" s="3" t="s">
        <v>16</v>
      </c>
    </row>
    <row r="7" spans="1:33" x14ac:dyDescent="0.3">
      <c r="A7" s="2" t="s">
        <v>4</v>
      </c>
      <c r="B7" s="10" t="s">
        <v>24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2"/>
      <c r="S7" s="10" t="s">
        <v>13</v>
      </c>
      <c r="T7" s="11"/>
      <c r="U7" s="11"/>
      <c r="V7" s="11"/>
      <c r="W7" s="12"/>
      <c r="X7" s="10" t="s">
        <v>23</v>
      </c>
      <c r="Y7" s="11"/>
      <c r="Z7" s="11"/>
      <c r="AA7" s="12"/>
      <c r="AB7" s="10" t="s">
        <v>15</v>
      </c>
      <c r="AC7" s="11"/>
      <c r="AD7" s="11"/>
      <c r="AE7" s="11"/>
      <c r="AF7" s="12"/>
      <c r="AG7" s="3" t="s">
        <v>16</v>
      </c>
    </row>
    <row r="8" spans="1:33" x14ac:dyDescent="0.3">
      <c r="A8" s="2" t="s">
        <v>5</v>
      </c>
      <c r="B8" s="10" t="s">
        <v>25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2"/>
      <c r="V8" s="3">
        <v>0</v>
      </c>
      <c r="W8" s="3">
        <v>0</v>
      </c>
      <c r="X8" s="10" t="s">
        <v>14</v>
      </c>
      <c r="Y8" s="11"/>
      <c r="Z8" s="11"/>
      <c r="AA8" s="12"/>
      <c r="AB8" s="10" t="s">
        <v>15</v>
      </c>
      <c r="AC8" s="11"/>
      <c r="AD8" s="11"/>
      <c r="AE8" s="11"/>
      <c r="AF8" s="12"/>
      <c r="AG8" s="3" t="s">
        <v>16</v>
      </c>
    </row>
    <row r="9" spans="1:33" x14ac:dyDescent="0.3">
      <c r="A9" s="2" t="s">
        <v>7</v>
      </c>
      <c r="B9" s="10" t="s">
        <v>28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2"/>
      <c r="R9" s="10" t="s">
        <v>27</v>
      </c>
      <c r="S9" s="11"/>
      <c r="T9" s="12"/>
      <c r="U9" s="10" t="s">
        <v>26</v>
      </c>
      <c r="V9" s="11"/>
      <c r="W9" s="12"/>
      <c r="X9" s="3" t="s">
        <v>19</v>
      </c>
      <c r="Y9" s="3" t="s">
        <v>18</v>
      </c>
      <c r="Z9" s="3" t="s">
        <v>3</v>
      </c>
      <c r="AA9" s="3" t="s">
        <v>5</v>
      </c>
      <c r="AB9" s="10" t="s">
        <v>15</v>
      </c>
      <c r="AC9" s="11"/>
      <c r="AD9" s="11"/>
      <c r="AE9" s="11"/>
      <c r="AF9" s="12"/>
      <c r="AG9" s="3" t="s">
        <v>16</v>
      </c>
    </row>
    <row r="10" spans="1:33" x14ac:dyDescent="0.3">
      <c r="A10" s="2" t="s">
        <v>6</v>
      </c>
      <c r="B10" s="10" t="s">
        <v>10</v>
      </c>
      <c r="C10" s="11"/>
      <c r="D10" s="11"/>
      <c r="E10" s="11"/>
      <c r="F10" s="11"/>
      <c r="G10" s="11"/>
      <c r="H10" s="12"/>
      <c r="I10" s="10" t="s">
        <v>30</v>
      </c>
      <c r="J10" s="11"/>
      <c r="K10" s="12"/>
      <c r="L10" s="10" t="s">
        <v>31</v>
      </c>
      <c r="M10" s="11"/>
      <c r="N10" s="12"/>
      <c r="O10" s="10" t="s">
        <v>29</v>
      </c>
      <c r="P10" s="11"/>
      <c r="Q10" s="12"/>
      <c r="R10" s="10" t="s">
        <v>27</v>
      </c>
      <c r="S10" s="11"/>
      <c r="T10" s="12"/>
      <c r="U10" s="10" t="s">
        <v>26</v>
      </c>
      <c r="V10" s="11"/>
      <c r="W10" s="12"/>
      <c r="X10" s="10" t="s">
        <v>14</v>
      </c>
      <c r="Y10" s="11"/>
      <c r="Z10" s="11"/>
      <c r="AA10" s="12"/>
      <c r="AB10" s="10" t="s">
        <v>15</v>
      </c>
      <c r="AC10" s="11"/>
      <c r="AD10" s="11"/>
      <c r="AE10" s="11"/>
      <c r="AF10" s="12"/>
      <c r="AG10" s="3" t="s">
        <v>16</v>
      </c>
    </row>
    <row r="11" spans="1:33" x14ac:dyDescent="0.3">
      <c r="A11" s="2" t="s">
        <v>8</v>
      </c>
      <c r="B11" s="10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2"/>
      <c r="R11" s="10" t="s">
        <v>27</v>
      </c>
      <c r="S11" s="11"/>
      <c r="T11" s="12"/>
      <c r="U11" s="10" t="s">
        <v>26</v>
      </c>
      <c r="V11" s="11"/>
      <c r="W11" s="12"/>
      <c r="X11" s="10" t="s">
        <v>14</v>
      </c>
      <c r="Y11" s="11"/>
      <c r="Z11" s="11"/>
      <c r="AA11" s="12"/>
      <c r="AB11" s="10" t="s">
        <v>15</v>
      </c>
      <c r="AC11" s="11"/>
      <c r="AD11" s="11"/>
      <c r="AE11" s="11"/>
      <c r="AF11" s="12"/>
      <c r="AG11" s="3" t="s">
        <v>16</v>
      </c>
    </row>
    <row r="12" spans="1:33" x14ac:dyDescent="0.3">
      <c r="A12" s="2" t="s">
        <v>9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10" t="s">
        <v>12</v>
      </c>
      <c r="O12" s="11"/>
      <c r="P12" s="11"/>
      <c r="Q12" s="11"/>
      <c r="R12" s="12"/>
      <c r="S12" s="3">
        <v>0</v>
      </c>
      <c r="T12" s="3">
        <v>0</v>
      </c>
      <c r="U12" s="10" t="s">
        <v>26</v>
      </c>
      <c r="V12" s="11"/>
      <c r="W12" s="12"/>
      <c r="X12" s="10" t="s">
        <v>14</v>
      </c>
      <c r="Y12" s="11"/>
      <c r="Z12" s="11"/>
      <c r="AA12" s="12"/>
      <c r="AB12" s="10" t="s">
        <v>15</v>
      </c>
      <c r="AC12" s="11"/>
      <c r="AD12" s="11"/>
      <c r="AE12" s="11"/>
      <c r="AF12" s="12"/>
      <c r="AG12" s="3" t="s">
        <v>16</v>
      </c>
    </row>
  </sheetData>
  <mergeCells count="49">
    <mergeCell ref="AB3:AF3"/>
    <mergeCell ref="B3:H3"/>
    <mergeCell ref="I3:M3"/>
    <mergeCell ref="N3:R3"/>
    <mergeCell ref="S3:W3"/>
    <mergeCell ref="X3:AA3"/>
    <mergeCell ref="AB4:AF4"/>
    <mergeCell ref="B5:M5"/>
    <mergeCell ref="N5:R5"/>
    <mergeCell ref="S5:W5"/>
    <mergeCell ref="AB5:AF5"/>
    <mergeCell ref="B6:H6"/>
    <mergeCell ref="B4:M4"/>
    <mergeCell ref="N4:R4"/>
    <mergeCell ref="S4:W4"/>
    <mergeCell ref="X4:AA4"/>
    <mergeCell ref="AB6:AF6"/>
    <mergeCell ref="X6:AA6"/>
    <mergeCell ref="I6:M6"/>
    <mergeCell ref="N6:R6"/>
    <mergeCell ref="S6:W6"/>
    <mergeCell ref="AB7:AF7"/>
    <mergeCell ref="X7:AA7"/>
    <mergeCell ref="S7:W7"/>
    <mergeCell ref="B7:R7"/>
    <mergeCell ref="X8:AA8"/>
    <mergeCell ref="AB8:AF8"/>
    <mergeCell ref="B8:U8"/>
    <mergeCell ref="AB9:AF9"/>
    <mergeCell ref="U9:W9"/>
    <mergeCell ref="R9:T9"/>
    <mergeCell ref="B9:Q9"/>
    <mergeCell ref="X10:AA10"/>
    <mergeCell ref="AB10:AF10"/>
    <mergeCell ref="R10:T10"/>
    <mergeCell ref="U10:W10"/>
    <mergeCell ref="O10:Q10"/>
    <mergeCell ref="I10:K10"/>
    <mergeCell ref="B10:H10"/>
    <mergeCell ref="B11:Q11"/>
    <mergeCell ref="AB12:AF12"/>
    <mergeCell ref="X12:AA12"/>
    <mergeCell ref="U12:W12"/>
    <mergeCell ref="N12:R12"/>
    <mergeCell ref="R11:T11"/>
    <mergeCell ref="U11:W11"/>
    <mergeCell ref="X11:AA11"/>
    <mergeCell ref="AB11:AF11"/>
    <mergeCell ref="L10:N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0CF8-F0FC-43B5-8B1F-488A2F898887}">
  <dimension ref="A2:AM8"/>
  <sheetViews>
    <sheetView tabSelected="1" workbookViewId="0">
      <selection activeCell="B10" sqref="B10"/>
    </sheetView>
  </sheetViews>
  <sheetFormatPr defaultRowHeight="14.4" x14ac:dyDescent="0.3"/>
  <cols>
    <col min="1" max="1" width="8.88671875" style="13"/>
    <col min="2" max="2" width="19.44140625" customWidth="1"/>
    <col min="3" max="34" width="3.44140625" customWidth="1"/>
    <col min="35" max="38" width="4.21875" customWidth="1"/>
    <col min="39" max="39" width="12.6640625" customWidth="1"/>
  </cols>
  <sheetData>
    <row r="2" spans="1:39" x14ac:dyDescent="0.3">
      <c r="C2" s="8">
        <v>31</v>
      </c>
      <c r="D2" s="8">
        <v>30</v>
      </c>
      <c r="E2" s="8">
        <v>29</v>
      </c>
      <c r="F2" s="8">
        <v>28</v>
      </c>
      <c r="G2" s="8">
        <v>27</v>
      </c>
      <c r="H2" s="8">
        <v>26</v>
      </c>
      <c r="I2" s="8">
        <v>25</v>
      </c>
      <c r="J2" s="8">
        <v>24</v>
      </c>
      <c r="K2" s="7">
        <v>23</v>
      </c>
      <c r="L2" s="7">
        <v>22</v>
      </c>
      <c r="M2" s="7">
        <v>21</v>
      </c>
      <c r="N2" s="7">
        <v>20</v>
      </c>
      <c r="O2" s="7">
        <v>19</v>
      </c>
      <c r="P2" s="7">
        <v>18</v>
      </c>
      <c r="Q2" s="7">
        <v>17</v>
      </c>
      <c r="R2" s="7">
        <v>16</v>
      </c>
      <c r="S2" s="6">
        <v>15</v>
      </c>
      <c r="T2" s="6">
        <v>14</v>
      </c>
      <c r="U2" s="6">
        <v>13</v>
      </c>
      <c r="V2" s="6">
        <v>12</v>
      </c>
      <c r="W2" s="6">
        <v>11</v>
      </c>
      <c r="X2" s="6">
        <v>10</v>
      </c>
      <c r="Y2" s="6">
        <v>9</v>
      </c>
      <c r="Z2" s="6">
        <v>8</v>
      </c>
      <c r="AA2" s="5">
        <v>7</v>
      </c>
      <c r="AB2" s="5">
        <v>6</v>
      </c>
      <c r="AC2" s="5">
        <v>5</v>
      </c>
      <c r="AD2" s="5">
        <v>4</v>
      </c>
      <c r="AE2" s="5">
        <v>3</v>
      </c>
      <c r="AF2" s="5">
        <v>2</v>
      </c>
      <c r="AG2" s="5">
        <v>1</v>
      </c>
      <c r="AH2" s="5">
        <v>0</v>
      </c>
      <c r="AI2" s="9" t="s">
        <v>32</v>
      </c>
      <c r="AJ2" s="9"/>
      <c r="AK2" s="9"/>
      <c r="AL2" s="9"/>
      <c r="AM2" s="4" t="s">
        <v>33</v>
      </c>
    </row>
    <row r="3" spans="1:39" x14ac:dyDescent="0.3">
      <c r="A3" s="13" t="s">
        <v>35</v>
      </c>
      <c r="B3" s="2" t="s">
        <v>34</v>
      </c>
      <c r="C3" s="3">
        <v>1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1</v>
      </c>
      <c r="AC3" s="3">
        <v>0</v>
      </c>
      <c r="AD3" s="3">
        <v>0</v>
      </c>
      <c r="AE3" s="3">
        <v>1</v>
      </c>
      <c r="AF3" s="3">
        <v>1</v>
      </c>
      <c r="AG3" s="3">
        <v>0</v>
      </c>
      <c r="AH3" s="3">
        <v>1</v>
      </c>
      <c r="AI3" s="8" t="str">
        <f>BIN2HEX(_xlfn.CONCAT(C3:J3),2)</f>
        <v>80</v>
      </c>
      <c r="AJ3" s="7" t="str">
        <f>BIN2HEX(_xlfn.CONCAT(K3:R3),2)</f>
        <v>00</v>
      </c>
      <c r="AK3" s="6" t="str">
        <f>BIN2HEX(_xlfn.CONCAT(S3:Z3),2)</f>
        <v>00</v>
      </c>
      <c r="AL3" s="5" t="str">
        <f>BIN2HEX(_xlfn.CONCAT(AA3:AH3),2)</f>
        <v>4D</v>
      </c>
      <c r="AM3" t="str">
        <f>_xlfn.CONCAT("0x",AI3:AL3)</f>
        <v>0x8000004D</v>
      </c>
    </row>
    <row r="4" spans="1:39" x14ac:dyDescent="0.3">
      <c r="B4" s="2" t="s">
        <v>34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8" t="str">
        <f t="shared" ref="AI4:AI8" si="0">BIN2HEX(_xlfn.CONCAT(C4:J4),2)</f>
        <v>00</v>
      </c>
      <c r="AJ4" s="7" t="str">
        <f t="shared" ref="AJ4:AJ8" si="1">BIN2HEX(_xlfn.CONCAT(K4:R4),2)</f>
        <v>00</v>
      </c>
      <c r="AK4" s="6" t="str">
        <f t="shared" ref="AK4:AK8" si="2">BIN2HEX(_xlfn.CONCAT(S4:Z4),2)</f>
        <v>00</v>
      </c>
      <c r="AL4" s="5" t="str">
        <f t="shared" ref="AL4:AL8" si="3">BIN2HEX(_xlfn.CONCAT(AA4:AH4),2)</f>
        <v>00</v>
      </c>
      <c r="AM4" t="str">
        <f t="shared" ref="AM4:AM8" si="4">_xlfn.CONCAT("0x",AI4:AL4)</f>
        <v>0x00000000</v>
      </c>
    </row>
    <row r="5" spans="1:39" x14ac:dyDescent="0.3">
      <c r="B5" s="2" t="s">
        <v>34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8" t="str">
        <f t="shared" si="0"/>
        <v>00</v>
      </c>
      <c r="AJ5" s="7" t="str">
        <f t="shared" si="1"/>
        <v>00</v>
      </c>
      <c r="AK5" s="6" t="str">
        <f t="shared" si="2"/>
        <v>00</v>
      </c>
      <c r="AL5" s="5" t="str">
        <f t="shared" si="3"/>
        <v>00</v>
      </c>
      <c r="AM5" t="str">
        <f t="shared" si="4"/>
        <v>0x00000000</v>
      </c>
    </row>
    <row r="6" spans="1:39" x14ac:dyDescent="0.3">
      <c r="B6" s="2" t="s">
        <v>34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8" t="str">
        <f>BIN2HEX(_xlfn.CONCAT(C6:J6),2)</f>
        <v>00</v>
      </c>
      <c r="AJ6" s="7" t="str">
        <f t="shared" si="1"/>
        <v>00</v>
      </c>
      <c r="AK6" s="6" t="str">
        <f t="shared" si="2"/>
        <v>00</v>
      </c>
      <c r="AL6" s="5" t="str">
        <f t="shared" si="3"/>
        <v>00</v>
      </c>
      <c r="AM6" t="str">
        <f t="shared" si="4"/>
        <v>0x00000000</v>
      </c>
    </row>
    <row r="7" spans="1:39" x14ac:dyDescent="0.3">
      <c r="B7" s="2" t="s">
        <v>34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8" t="str">
        <f t="shared" si="0"/>
        <v>00</v>
      </c>
      <c r="AJ7" s="7" t="str">
        <f t="shared" si="1"/>
        <v>00</v>
      </c>
      <c r="AK7" s="6" t="str">
        <f t="shared" si="2"/>
        <v>00</v>
      </c>
      <c r="AL7" s="5" t="str">
        <f t="shared" si="3"/>
        <v>00</v>
      </c>
      <c r="AM7" t="str">
        <f t="shared" si="4"/>
        <v>0x00000000</v>
      </c>
    </row>
    <row r="8" spans="1:39" x14ac:dyDescent="0.3">
      <c r="B8" s="2" t="s">
        <v>34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8" t="str">
        <f t="shared" si="0"/>
        <v>00</v>
      </c>
      <c r="AJ8" s="7" t="str">
        <f t="shared" si="1"/>
        <v>00</v>
      </c>
      <c r="AK8" s="6" t="str">
        <f t="shared" si="2"/>
        <v>00</v>
      </c>
      <c r="AL8" s="5" t="str">
        <f t="shared" si="3"/>
        <v>00</v>
      </c>
      <c r="AM8" t="str">
        <f t="shared" si="4"/>
        <v>0x00000000</v>
      </c>
    </row>
  </sheetData>
  <mergeCells count="1">
    <mergeCell ref="AI2:A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Encode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FREDERICK GEOVANNY OBANDO SOLANO</dc:creator>
  <cp:lastModifiedBy>FREDERICK GEOVANNY OBANDO SOLANO</cp:lastModifiedBy>
  <dcterms:created xsi:type="dcterms:W3CDTF">2026-04-24T18:48:58Z</dcterms:created>
  <dcterms:modified xsi:type="dcterms:W3CDTF">2026-04-25T00:37:50Z</dcterms:modified>
</cp:coreProperties>
</file>